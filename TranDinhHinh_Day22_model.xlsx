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41cd617404b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c449cb54267a4dae"/>
    <x:sheet xmlns:r="http://schemas.openxmlformats.org/officeDocument/2006/relationships" name="1_Cost_Job" sheetId="2" r:id="R353d616aea194915"/>
    <x:sheet xmlns:r="http://schemas.openxmlformats.org/officeDocument/2006/relationships" name="2_Pricing" sheetId="3" r:id="Rea09772e434f46f2"/>
    <x:sheet xmlns:r="http://schemas.openxmlformats.org/officeDocument/2006/relationships" name="3_Value_Metric" sheetId="4" r:id="Rb3407e37f90a4cf9"/>
    <x:sheet xmlns:r="http://schemas.openxmlformats.org/officeDocument/2006/relationships" name="4_Channel_Fit" sheetId="5" r:id="R81e798a91a3844a0"/>
    <x:sheet xmlns:r="http://schemas.openxmlformats.org/officeDocument/2006/relationships" name="5_90Day_Plan" sheetId="6" r:id="R4f2d375dd31a4a82"/>
    <x:sheet xmlns:r="http://schemas.openxmlformats.org/officeDocument/2006/relationships" name="6_Benchmarks" sheetId="7" r:id="R83de34b283f2405e"/>
  </x:sheets>
</x: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======
ID#AAACIQEOV6c
Unknown Author    (2026-10-08 02:20:56)
Ví dụ mẫu đang điền sẵn — thay bằng sản phẩm của bạn.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<x:sst xmlns:x="http://schemas.openxmlformats.org/spreadsheetml/2006/main">
  <x:si>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DAY 28 — MONETIZATION MODEL</x:t>
  </x:si>
  <x:si>
    <x:t xml:space="preserve">AI Pricing · GTM · Evidence — AI-IN-ACTION Track 1</x:t>
  </x:si>
  <x:si>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</x:si>
  <x:si>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</x:si>
  <x:si>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</x:si>
  <x:si>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</x:si>
  <x:si>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</x:si>
  <x:si>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</x:si>
  <x:si>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</x:si>
  <x:si>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</x:si>
  <x:si>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</x:si>
  <x:si>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</x:si>
  <x:si>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</x:si>
  <x:si>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</x:si>
  <x:si>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</x:si>
  <x:si>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</x:si>
  <x:si>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</x:si>
  <x:si>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</x:si>
  <x:si>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</x:si>
  <x:si>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</x:si>
  <x:si>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</x:si>
  <x:si>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</x:si>
  <x:si>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</x:si>
  <x:si>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</x:si>
  <x:si>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</x:si>
  <x:si>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</x:si>
  <x:si>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</x:si>
  <x:si>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</x:si>
  <x:si>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Giá tham chiếu trong workbook này được chốt ngày 26/08/2026. Nhiều mức giá là KHUYẾN MẠI CÓ HẠN.</x:t>
  </x:si>
  <x:si>
    <x:t xml:space="preserve">Bạn PHẢI tự mở lại trang giá của nhà cung cấp và cập nhật — đây là một phần của bài tập.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</x:si>
  <x:si>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</x:si>
  <x:si>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</x:si>
  <x:si>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</x:si>
  <x:si>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</x:si>
  <x:si>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Phải là thứ KHÁCH coi là giá trị — không phải '1 request'</x:t>
  </x:si>
  <x:si>
    <x:t xml:space="preserve">Biến thể HITL: A hay B?</x:t>
  </x:si>
  <x:si>
    <x:t xml:space="preserve">A = khách tự xử lý ca escalate · B = BẠN chịu (outcome/managed)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</x:si>
  <x:si>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</x:si>
  <x:si>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</x:si>
  <x:si>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</x:si>
  <x:si>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</x:si>
  <x:si>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Chưa đo → ước tính và ghi rõ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</x:si>
  <x:si>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</x:si>
  <x:si>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</x:si>
  <x:si>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</x:si>
  <x:si>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</x:si>
  <x:si>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</x:si>
  <x:si>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</x:si>
  <x:si>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Claude Haiku 4.5 — xem tab 6_Benchmarks</x:t>
  </x:si>
  <x:si>
    <x:t xml:space="preserve">Giá output ($ / 1M token)</x:t>
  </x:si>
  <x:si>
    <x:t xml:space="preserve">Giá cache WRITE ($ / 1M token)</x:t>
  </x:si>
  <x:si>
    <x:t xml:space="preserve">Anthropic 5-phút = 1,25× input</x:t>
  </x:si>
  <x:si>
    <x:t xml:space="preserve">Giá cache READ ($ / 1M token)</x:t>
  </x:si>
  <x:si>
    <x:t xml:space="preserve">≈ 0,1× input (giảm 90%)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</x:si>
  <x:si>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</x:si>
  <x:si>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</x:si>
  <x:si>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</x:si>
  <x:si>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</x:si>
  <x:si>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System prompt + KB + few-shot</x:t>
  </x:si>
  <x:si>
    <x:t xml:space="preserve">Token input FRESH / lượt</x:t>
  </x:si>
  <x:si>
    <x:t xml:space="preserve">Câu hỏi khách + dữ liệu động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</x:si>
  <x:si>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</x:si>
  <x:si>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</x:si>
  <x:si>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</x:si>
  <x:si>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</x:si>
  <x:si>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</x:si>
  <x:si>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</x:si>
  <x:si>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</x:si>
  <x:si>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</x:si>
  <x:si>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</x:si>
  <x:si>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</x:si>
  <x:si>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</x:si>
  <x:si>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</x:si>
  <x:si>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</x:si>
  <x:si>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</x:si>
  <x:si>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Deepgram streaming list $0,0077/phút</x:t>
  </x:si>
  <x:si>
    <x:t xml:space="preserve">Số phút audio / job</x:t>
  </x:si>
  <x:si>
    <x:t xml:space="preserve">phút</x:t>
  </x:si>
  <x:si>
    <x:t xml:space="preserve">Giá TTS ($ / 1M ký tự)</x:t>
  </x:si>
  <x:si>
    <x:t xml:space="preserve">ElevenLabs Flash $50 · Google Standard $4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</x:si>
  <x:si>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</x:si>
  <x:si>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</x:si>
  <x:si>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</x:si>
  <x:si>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</x:si>
  <x:si>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</x:si>
  <x:si>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</x:si>
  <x:si>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Vector DB, embedding, storage, logging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</x:si>
  <x:si>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</x:si>
  <x:si>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</x:si>
  <x:si>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</x:si>
  <x:si>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</x:si>
  <x:si>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ĐỪNG để 0%. Thực tế 5–10% là bình thường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</x:si>
  <x:si>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</x:si>
  <x:si>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</x:si>
  <x:si>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</x:si>
  <x:si>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Gồm lương + bảo hiểm + quản lý + chỗ ngồi</x:t>
  </x:si>
  <x:si>
    <x:t xml:space="preserve">% hội thoại QA nội bộ</x:t>
  </x:si>
  <x:si>
    <x:t xml:space="preserve">Luôn có, kể cả Biến thể A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</x:si>
  <x:si>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</x:si>
  <x:si>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</x:si>
  <x:si>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</x:si>
  <x:si>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</x:si>
  <x:si>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</x:si>
  <x:si>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</x:si>
  <x:si>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</x:si>
  <x:si>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</x:si>
  <x:si>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Để 0 nếu chỉ muốn xem Cost/Job thuần COGS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</x:si>
  <x:si>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</x:si>
  <x:si>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</x:si>
  <x:si>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</x:si>
  <x:si>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</x:si>
  <x:si>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</x:si>
  <x:si>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</x:si>
  <x:si>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</x:si>
  <x:si>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</x:si>
  <x:si>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</x:si>
  <x:si>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</x:si>
  <x:si>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</x:si>
  <x:si>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Thay bằng tỷ giá thực tế khi làm bài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</x:si>
  <x:si>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</x:si>
  <x:si>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</x:si>
  <x:si>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</x:si>
  <x:si>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</x:si>
  <x:si>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</x:si>
  <x:si>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</x:si>
  <x:si>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</x:si>
  <x:si>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</x:si>
  <x:si>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</x:si>
  <x:si>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</x:si>
  <x:si>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</x:si>
  <x:si>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</x:si>
  <x:si>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</x:si>
  <x:si>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</x:si>
  <x:si>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</x:si>
  <x:si>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</x:si>
  <x:si>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</x:si>
  <x:si>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</x:si>
  <x:si>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</x:si>
  <x:si>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</x:si>
  <x:si>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Neo theo giá trị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</x:si>
  <x:si>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</x:si>
  <x:si>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</x:si>
  <x:si>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</x:si>
  <x:si>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</x:si>
  <x:si>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Neo theo nhân công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</x:si>
  <x:si>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</x:si>
  <x:si>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</x:si>
  <x:si>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</x:si>
  <x:si>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</x:si>
  <x:si>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Tham chiếu: Intercom Fin $0,99 · Zendesk $1,50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</x:si>
  <x:si>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</x:si>
  <x:si>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</x:si>
  <x:si>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</x:si>
  <x:si>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</x:si>
  <x:si>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</x:si>
  <x:si>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</x:si>
  <x:si>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</x:si>
  <x:si>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</x:si>
  <x:si>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</x:si>
  <x:si>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</x:si>
  <x:si>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</x:si>
  <x:si>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</x:si>
  <x:si>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</x:si>
  <x:si>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</x:si>
  <x:si>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</x:si>
  <x:si>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</x:si>
  <x:si>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</x:si>
  <x:si>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</x:si>
  <x:si>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</x:si>
  <x:si>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</x:si>
  <x:si>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</x:si>
  <x:si>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Nhìn cột Gross Margin: mô hình của bạn mong manh đến mức nào khi AI làm sai nhiều hơn dự kiến?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</x:si>
  <x:si>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</x:si>
  <x:si>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</x:si>
  <x:si>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</x:si>
  <x:si>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</x:si>
  <x:si>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</x:si>
  <x:si>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</x:si>
  <x:si>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</x:si>
  <x:si>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</x:si>
  <x:si>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</x:si>
  <x:si>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</x:si>
  <x:si>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</x:si>
  <x:si>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</x:si>
  <x:si>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</x:si>
  <x:si>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</x:si>
  <x:si>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</x:si>
  <x:si>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</x:si>
  <x:si>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</x:si>
  <x:si>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</x:si>
  <x:si>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</x:si>
  <x:si>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</x:si>
  <x:si>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</x:si>
  <x:si>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</x:si>
  <x:si>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</x:si>
  <x:si>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</x:si>
  <x:si>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</x:si>
  <x:si>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</x:si>
  <x:si>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</x:si>
  <x:si>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</x:si>
  <x:si>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</x:si>
  <x:si>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</x:si>
  <x:si>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</x:si>
  <x:si>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</x:si>
  <x:si>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</x:si>
  <x:si>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</x:si>
  <x:si>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</x:si>
  <x:si>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</x:si>
  <x:si>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</x:si>
  <x:si>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</x:si>
  <x:si>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</x:si>
  <x:si>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</x:si>
  <x:si>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</x:si>
  <x:si>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</x:si>
  <x:si>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</x:si>
  <x:si>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</x:si>
  <x:si>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</x:si>
  <x:si>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</x:si>
  <x:si>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</x:si>
  <x:si>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</x:si>
  <x:si>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Giả định gốc của Tunguz (2016) — thay bằng số thị trường bạn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</x:si>
  <x:si>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</x:si>
  <x:si>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</x:si>
  <x:si>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</x:si>
  <x:si>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</x:si>
  <x:si>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</x:si>
  <x:si>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</x:si>
  <x:si>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</x:si>
  <x:si>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</x:si>
  <x:si>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ICONIQ 2026 theo phân khúc: $6.300 · $8.000 · $11.200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</x:si>
  <x:si>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</x:si>
  <x:si>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</x:si>
  <x:si>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</x:si>
  <x:si>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</x:si>
  <x:si>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</x:si>
  <x:si>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</x:si>
  <x:si>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</x:si>
  <x:si>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</x:si>
  <x:si>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</x:si>
  <x:si>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</x:si>
  <x:si>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</x:si>
  <x:si>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</x:si>
  <x:si>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</x:si>
  <x:si>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</x:si>
  <x:si>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</x:si>
  <x:si>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</x:si>
  <x:si>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</x:si>
  <x:si>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</x:si>
  <x:si>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</x:si>
  <x:si>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</x:si>
  <x:si>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</x:si>
  <x:si>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</x:si>
  <x:si>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</x:si>
  <x:si>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</x:si>
  <x:si>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</x:si>
  <x:si>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</x:si>
  <x:si>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</x:si>
  <x:si>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</x:si>
  <x:si>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</x:si>
  <x:si>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</x:si>
  <x:si>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</x:si>
  <x:si>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</x:si>
  <x:si>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</x:si>
  <x:si>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</x:si>
  <x:si>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</x:si>
  <x:si>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</x:si>
  <x:si>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</x:si>
  <x:si>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</x:si>
  <x:si>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</x:si>
  <x:si>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</x:si>
  <x:si>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</x:si>
  <x:si>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</x:si>
  <x:si>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</x:si>
  <x:si>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</x:si>
  <x:si>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</x:si>
  <x:si>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</x:si>
  <x:si>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</x:si>
  <x:si>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</x:si>
  <x:si>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</x:si>
  <x:si>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</x:si>
  <x:si>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</x:si>
  <x:si>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</x:t>
  </x:si>
  <x:si>
    <x:t xml:space="preserve">2. Risk Checklist 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</x:si>
  <x:si>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</x:si>
  <x:si>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</x:si>
  <x:si>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</x:si>
  <x:si>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</x:si>
  <x:si>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</x:si>
  <x:si>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</x:si>
  <x:si>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</x:si>
  <x:si>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</x:si>
  <x:si>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</x:si>
  <x:si>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</x:si>
  <x:si>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</x:si>
  <x:si>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</x:si>
  <x:si>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</x:si>
  <x:si>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</x:si>
  <x:si>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</x:si>
  <x:si>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</x:si>
  <x:si>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</x:si>
  <x:si>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</x:si>
  <x:si>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</x:si>
  <x:si>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</x:si>
  <x:si>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</x:si>
  <x:si>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</x:si>
  <x:si>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</x:si>
  <x:si>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</x:si>
  <x:si>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</x:si>
  <x:si>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</x:si>
  <x:si>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</x:si>
  <x:si>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</x:si>
  <x:si>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</x:si>
  <x:si>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</x:si>
  <x:si>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OpenAI GPT-5.6 Luna — input / output</x:t>
  </x:si>
  <x:si>
    <x:t xml:space="preserve">0,20 / 1,20</x:t>
  </x:si>
  <x:si>
    <x:t xml:space="preserve">developers.openai.com/api/docs/pricing</x:t>
  </x:si>
  <x:si>
    <x:t xml:space="preserve">OpenAI — cached input / Batch API</x:t>
  </x:si>
  <x:si>
    <x:t xml:space="preserve">10% input / −50%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</x:si>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</x:sst>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16">
    <x:numFmt numFmtId="164" formatCode="0.0%"/>
    <x:numFmt numFmtId="165" formatCode="\$#,##0.0000"/>
    <x:numFmt numFmtId="166" formatCode="#,##0.0"/>
    <x:numFmt numFmtId="167" formatCode="\$#,##0.00"/>
    <x:numFmt numFmtId="168" formatCode="\$#,##0"/>
    <x:numFmt numFmtId="169" formatCode="#,##0.0\×"/>
    <x:numFmt numFmtId="170" formatCode="#,##0&quot; ₫&quot;"/>
    <x:numFmt numFmtId="200" formatCode="&quot;$&quot;#,##0.00"/>
    <x:numFmt numFmtId="201" formatCode="#,##0"/>
    <x:numFmt numFmtId="202" formatCode="0.00"/>
    <x:numFmt numFmtId="203" formatCode="0"/>
    <x:numFmt numFmtId="204" formatCode="&quot;$&quot;0.000000"/>
    <x:numFmt numFmtId="205" formatCode="&quot;$&quot;0.0000"/>
    <x:numFmt numFmtId="206" formatCode="0.00%"/>
    <x:numFmt numFmtId="207" formatCode="dd/mm/yyyy"/>
    <x:numFmt numFmtId="208" formatCode="&quot;$&quot;0.00"/>
  </x:numFmts>
  <x:fonts count="12">
    <x:font>
      <x:sz val="11"/>
      <x:color theme="1"/>
      <x:name val="Calibri"/>
      <x:scheme val="minor"/>
    </x:font>
    <x:font>
      <x:b/>
      <x:sz val="14"/>
      <x:color rgb="FFFFFFFF"/>
      <x:name val="Arial"/>
    </x:font>
    <x:font>
      <x:sz val="11"/>
      <x:color theme="1"/>
      <x:name val="Calibri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color theme="1"/>
      <x:name val="Arial"/>
    </x:font>
    <x:font>
      <x:sz val="10"/>
      <x:color rgb="FF008000"/>
      <x:name val="Arial"/>
    </x:font>
    <x:font>
      <x:b/>
      <x:sz val="10"/>
      <x:color theme="1"/>
      <x:name val="Arial"/>
    </x:font>
    <x:font>
      <x:b/>
      <x:sz val="11"/>
      <x:color rgb="FFC00000"/>
      <x:name val="Arial"/>
    </x:font>
    <x:font>
      <x:b/>
      <x:sz val="10"/>
      <x:color rgb="FFFFFFFF"/>
      <x:name val="Arial"/>
    </x:font>
    <x:font>
      <x:sz val="10"/>
      <x:color theme="1"/>
      <x:name val="Calibri"/>
      <x:scheme val="minor"/>
    </x:font>
  </x:fonts>
  <x:fills count="9">
    <x:fill>
      <x:patternFill patternType="none"/>
    </x:fill>
    <x:fill>
      <x:patternFill patternType="lightGray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E8EAF6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3">
    <x:border/>
    <x:border>
      <x:left/>
      <x:right/>
      <x:top/>
      <x:bottom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 applyFont="1" applyAlignment="1"/>
  </x:cellStyleXfs>
  <x:cellXfs count="98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vertical="bottom" wrapText="0" shrinkToFit="0"/>
    </x:xf>
    <x:xf numFmtId="0" fontId="2" fillId="2" borderId="1" xfId="0" applyFont="1" applyFill="1" applyBorder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0" fontId="4" fillId="0" borderId="0" xfId="0" applyFont="1" applyAlignment="1">
      <x:alignment vertical="bottom" wrapText="0" shrinkToFit="0"/>
    </x:xf>
    <x:xf numFmtId="0" fontId="5" fillId="3" borderId="2" xfId="0" applyFont="1" applyFill="1" applyBorder="1" applyAlignment="1">
      <x:alignment vertical="bottom" wrapText="0" shrinkToFit="0"/>
    </x:xf>
    <x:xf numFmtId="0" fontId="6" fillId="0" borderId="0" xfId="0" applyFont="1" applyAlignment="1">
      <x:alignment vertical="bottom" wrapText="0" shrinkToFit="0"/>
    </x:xf>
    <x:xf numFmtId="0" fontId="4" fillId="4" borderId="1" xfId="0" applyFont="1" applyFill="1" applyBorder="1" applyAlignment="1">
      <x:alignment vertical="bottom" wrapText="0" shrinkToFit="0"/>
    </x:xf>
    <x:xf numFmtId="0" fontId="6" fillId="5" borderId="2" xfId="0" applyFont="1" applyFill="1" applyBorder="1" applyAlignment="1">
      <x:alignment vertical="bottom" wrapText="0" shrinkToFit="0"/>
    </x:xf>
    <x:xf numFmtId="0" fontId="7" fillId="0" borderId="2" xfId="0" applyFont="1" applyBorder="1" applyAlignment="1">
      <x:alignment vertical="bottom" wrapText="0" shrinkToFit="0"/>
    </x:xf>
    <x:xf numFmtId="0" fontId="2" fillId="4" borderId="1" xfId="0" applyFont="1" applyFill="1" applyBorder="1" applyAlignment="1">
      <x:alignment vertical="bottom" wrapText="0" shrinkToFit="0"/>
    </x:xf>
    <x:xf numFmtId="0" fontId="6" fillId="6" borderId="2" xfId="0" applyFont="1" applyFill="1" applyBorder="1" applyAlignment="1">
      <x:alignment vertical="bottom" wrapText="0" shrinkToFit="0"/>
    </x:xf>
    <x:xf numFmtId="0" fontId="8" fillId="0" borderId="0" xfId="0" applyFont="1" applyAlignment="1">
      <x:alignment vertical="bottom" wrapText="0" shrinkToFit="0"/>
    </x:xf>
    <x:xf numFmtId="0" fontId="5" fillId="3" borderId="2" xfId="0" applyFont="1" applyFill="1" applyBorder="1" applyAlignment="1">
      <x:alignment horizontal="center" vertical="bottom" wrapText="0" shrinkToFit="0"/>
    </x:xf>
    <x:xf numFmtId="0" fontId="6" fillId="0" borderId="0" xfId="0" applyFont="1" applyAlignment="1">
      <x:alignment vertical="bottom" wrapText="0" shrinkToFit="0"/>
    </x:xf>
    <x:xf numFmtId="3" fontId="5" fillId="3" borderId="2" xfId="0" applyNumberFormat="1" applyFont="1" applyFill="1" applyBorder="1" applyAlignment="1">
      <x:alignment vertical="bottom" wrapText="0" shrinkToFit="0"/>
    </x:xf>
    <x:xf numFmtId="164" fontId="5" fillId="3" borderId="2" xfId="0" applyNumberFormat="1" applyFont="1" applyFill="1" applyBorder="1" applyAlignment="1">
      <x:alignment vertical="bottom" wrapText="0" shrinkToFit="0"/>
    </x:xf>
    <x:xf numFmtId="0" fontId="3" fillId="0" borderId="0" xfId="0" applyFont="1" applyAlignment="1">
      <x:alignment vertical="bottom" wrapText="0" shrinkToFit="0"/>
    </x:xf>
    <x:xf numFmtId="3" fontId="9" fillId="5" borderId="2" xfId="0" applyNumberFormat="1" applyFont="1" applyFill="1" applyBorder="1" applyAlignment="1">
      <x:alignment vertical="bottom" wrapText="0" shrinkToFit="0"/>
    </x:xf>
    <x:xf numFmtId="3" fontId="6" fillId="5" borderId="2" xfId="0" applyNumberFormat="1" applyFont="1" applyFill="1" applyBorder="1" applyAlignment="1">
      <x:alignment vertical="bottom" wrapText="0" shrinkToFit="0"/>
    </x:xf>
    <x:xf numFmtId="165" fontId="7" fillId="5" borderId="2" xfId="0" applyNumberFormat="1" applyFont="1" applyFill="1" applyBorder="1" applyAlignment="1">
      <x:alignment vertical="bottom" wrapText="0" shrinkToFit="0"/>
    </x:xf>
    <x:xf numFmtId="166" fontId="5" fillId="3" borderId="2" xfId="0" applyNumberFormat="1" applyFont="1" applyFill="1" applyBorder="1" applyAlignment="1">
      <x:alignment vertical="bottom" wrapText="0" shrinkToFit="0"/>
    </x:xf>
    <x:xf numFmtId="167" fontId="5" fillId="3" borderId="2" xfId="0" applyNumberFormat="1" applyFont="1" applyFill="1" applyBorder="1" applyAlignment="1">
      <x:alignment vertical="bottom" wrapText="0" shrinkToFit="0"/>
    </x:xf>
    <x:xf numFmtId="165" fontId="9" fillId="5" borderId="2" xfId="0" applyNumberFormat="1" applyFont="1" applyFill="1" applyBorder="1" applyAlignment="1">
      <x:alignment vertical="bottom" wrapText="0" shrinkToFit="0"/>
    </x:xf>
    <x:xf numFmtId="165" fontId="6" fillId="5" borderId="2" xfId="0" applyNumberFormat="1" applyFont="1" applyFill="1" applyBorder="1" applyAlignment="1">
      <x:alignment vertical="bottom" wrapText="0" shrinkToFit="0"/>
    </x:xf>
    <x:xf numFmtId="168" fontId="5" fillId="3" borderId="2" xfId="0" applyNumberFormat="1" applyFont="1" applyFill="1" applyBorder="1" applyAlignment="1">
      <x:alignment vertical="bottom" wrapText="0" shrinkToFit="0"/>
    </x:xf>
    <x:xf numFmtId="0" fontId="9" fillId="5" borderId="2" xfId="0" applyFont="1" applyFill="1" applyBorder="1" applyAlignment="1">
      <x:alignment vertical="bottom" wrapText="0" shrinkToFit="0"/>
    </x:xf>
    <x:xf numFmtId="0" fontId="8" fillId="6" borderId="2" xfId="0" applyFont="1" applyFill="1" applyBorder="1" applyAlignment="1">
      <x:alignment vertical="bottom" wrapText="0" shrinkToFit="0"/>
    </x:xf>
    <x:xf numFmtId="164" fontId="6" fillId="5" borderId="2" xfId="0" applyNumberFormat="1" applyFont="1" applyFill="1" applyBorder="1" applyAlignment="1">
      <x:alignment vertical="bottom" wrapText="0" shrinkToFit="0"/>
    </x:xf>
    <x:xf numFmtId="165" fontId="5" fillId="3" borderId="2" xfId="0" applyNumberFormat="1" applyFont="1" applyFill="1" applyBorder="1" applyAlignment="1">
      <x:alignment vertical="bottom" wrapText="0" shrinkToFit="0"/>
    </x:xf>
    <x:xf numFmtId="169" fontId="6" fillId="5" borderId="2" xfId="0" applyNumberFormat="1" applyFont="1" applyFill="1" applyBorder="1" applyAlignment="1">
      <x:alignment vertical="bottom" wrapText="0" shrinkToFit="0"/>
    </x:xf>
    <x:xf numFmtId="164" fontId="9" fillId="5" borderId="2" xfId="0" applyNumberFormat="1" applyFont="1" applyFill="1" applyBorder="1" applyAlignment="1">
      <x:alignment vertical="bottom" wrapText="0" shrinkToFit="0"/>
    </x:xf>
    <x:xf numFmtId="167" fontId="6" fillId="5" borderId="2" xfId="0" applyNumberFormat="1" applyFont="1" applyFill="1" applyBorder="1" applyAlignment="1">
      <x:alignment vertical="bottom" wrapText="0" shrinkToFit="0"/>
    </x:xf>
    <x:xf numFmtId="167" fontId="9" fillId="5" borderId="2" xfId="0" applyNumberFormat="1" applyFont="1" applyFill="1" applyBorder="1" applyAlignment="1">
      <x:alignment vertical="bottom" wrapText="0" shrinkToFit="0"/>
    </x:xf>
    <x:xf numFmtId="164" fontId="7" fillId="5" borderId="2" xfId="0" applyNumberFormat="1" applyFont="1" applyFill="1" applyBorder="1" applyAlignment="1">
      <x:alignment vertical="bottom" wrapText="0" shrinkToFit="0"/>
    </x:xf>
    <x:xf numFmtId="168" fontId="9" fillId="5" borderId="2" xfId="0" applyNumberFormat="1" applyFont="1" applyFill="1" applyBorder="1" applyAlignment="1">
      <x:alignment vertical="bottom" wrapText="0" shrinkToFit="0"/>
    </x:xf>
    <x:xf numFmtId="170" fontId="6" fillId="5" borderId="2" xfId="0" applyNumberFormat="1" applyFont="1" applyFill="1" applyBorder="1" applyAlignment="1">
      <x:alignment vertical="bottom" wrapText="0" shrinkToFit="0"/>
    </x:xf>
    <x:xf numFmtId="168" fontId="6" fillId="5" borderId="2" xfId="0" applyNumberFormat="1" applyFont="1" applyFill="1" applyBorder="1" applyAlignment="1">
      <x:alignment vertical="bottom" wrapText="0" shrinkToFit="0"/>
    </x:xf>
    <x:xf numFmtId="4" fontId="9" fillId="5" borderId="2" xfId="0" applyNumberFormat="1" applyFont="1" applyFill="1" applyBorder="1" applyAlignment="1">
      <x:alignment vertical="bottom" wrapText="0" shrinkToFit="0"/>
    </x:xf>
    <x:xf numFmtId="169" fontId="9" fillId="5" borderId="2" xfId="0" applyNumberFormat="1" applyFont="1" applyFill="1" applyBorder="1" applyAlignment="1">
      <x:alignment vertical="bottom" wrapText="0" shrinkToFit="0"/>
    </x:xf>
    <x:xf numFmtId="164" fontId="6" fillId="6" borderId="2" xfId="0" applyNumberFormat="1" applyFont="1" applyFill="1" applyBorder="1" applyAlignment="1">
      <x:alignment vertical="bottom" wrapText="0" shrinkToFit="0"/>
    </x:xf>
    <x:xf numFmtId="0" fontId="5" fillId="3" borderId="2" xfId="0" applyFont="1" applyFill="1" applyBorder="1" applyAlignment="1">
      <x:alignment vertical="top" wrapText="1" shrinkToFit="0"/>
    </x:xf>
    <x:xf numFmtId="0" fontId="10" fillId="2" borderId="2" xfId="0" applyFont="1" applyFill="1" applyBorder="1" applyAlignment="1">
      <x:alignment vertical="bottom" wrapText="0" shrinkToFit="0"/>
    </x:xf>
    <x:xf numFmtId="0" fontId="6" fillId="6" borderId="2" xfId="0" applyFont="1" applyFill="1" applyBorder="1" applyAlignment="1">
      <x:alignment vertical="top" wrapText="0" shrinkToFit="0"/>
    </x:xf>
    <x:xf numFmtId="0" fontId="3" fillId="6" borderId="2" xfId="0" applyFont="1" applyFill="1" applyBorder="1" applyAlignment="1">
      <x:alignment vertical="top" wrapText="1" shrinkToFit="0"/>
    </x:xf>
    <x:xf numFmtId="0" fontId="2" fillId="2" borderId="1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4" borderId="1" xfId="0" applyNumberFormat="1" applyFont="1" applyFill="1" applyBorder="1" applyAlignment="1">
      <x:alignment vertical="bottom" wrapText="1"/>
    </x:xf>
    <x:xf numFmtId="0" fontId="5" fillId="3" borderId="2" xfId="0" applyNumberFormat="1" applyFont="1" applyFill="1" applyBorder="1" applyAlignment="1">
      <x:alignment vertical="bottom" wrapText="1"/>
    </x:xf>
    <x:xf numFmtId="0" fontId="5" fillId="3" borderId="2" xfId="0" applyNumberFormat="1" applyFont="1" applyFill="1" applyBorder="1" applyAlignment="1">
      <x:alignment horizontal="center" vertical="bottom" wrapText="1"/>
    </x:xf>
    <x:xf numFmtId="3" fontId="5" fillId="3" borderId="2" xfId="0" applyNumberFormat="1" applyFont="1" applyFill="1" applyBorder="1" applyAlignment="1">
      <x:alignment vertical="bottom" wrapText="1"/>
    </x:xf>
    <x:xf numFmtId="164" fontId="5" fillId="3" borderId="2" xfId="0" applyNumberFormat="1" applyFont="1" applyFill="1" applyBorder="1" applyAlignment="1">
      <x:alignment vertical="bottom" wrapText="1"/>
    </x:xf>
    <x:xf numFmtId="3" fontId="6" fillId="5" borderId="2" xfId="0" applyNumberFormat="1" applyFont="1" applyFill="1" applyBorder="1" applyAlignment="1">
      <x:alignment vertical="bottom" wrapText="1"/>
    </x:xf>
    <x:xf numFmtId="167" fontId="5" fillId="3" borderId="2" xfId="0" applyNumberFormat="1" applyFont="1" applyFill="1" applyBorder="1" applyAlignment="1">
      <x:alignment vertical="bottom" wrapText="1"/>
    </x:xf>
    <x:xf numFmtId="165" fontId="6" fillId="5" borderId="2" xfId="0" applyNumberFormat="1" applyFont="1" applyFill="1" applyBorder="1" applyAlignment="1">
      <x:alignment vertical="bottom" wrapText="1"/>
    </x:xf>
    <x:xf numFmtId="165" fontId="9" fillId="5" borderId="2" xfId="0" applyNumberFormat="1" applyFont="1" applyFill="1" applyBorder="1" applyAlignment="1">
      <x:alignment vertical="bottom" wrapText="1"/>
    </x:xf>
    <x:xf numFmtId="164" fontId="6" fillId="5" borderId="2" xfId="0" applyNumberFormat="1" applyFont="1" applyFill="1" applyBorder="1" applyAlignment="1">
      <x:alignment vertical="bottom" wrapText="1"/>
    </x:xf>
    <x:xf numFmtId="165" fontId="5" fillId="3" borderId="2" xfId="0" applyNumberFormat="1" applyFont="1" applyFill="1" applyBorder="1" applyAlignment="1">
      <x:alignment vertical="bottom" wrapText="1"/>
    </x:xf>
    <x:xf numFmtId="166" fontId="5" fillId="3" borderId="2" xfId="0" applyNumberFormat="1" applyFont="1" applyFill="1" applyBorder="1" applyAlignment="1">
      <x:alignment vertical="bottom" wrapText="1"/>
    </x:xf>
    <x:xf numFmtId="167" fontId="6" fillId="5" borderId="2" xfId="0" applyNumberFormat="1" applyFont="1" applyFill="1" applyBorder="1" applyAlignment="1">
      <x:alignment vertical="bottom" wrapText="1"/>
    </x:xf>
    <x:xf numFmtId="167" fontId="9" fillId="5" borderId="2" xfId="0" applyNumberFormat="1" applyFont="1" applyFill="1" applyBorder="1" applyAlignment="1">
      <x:alignment vertical="bottom" wrapText="1"/>
    </x:xf>
    <x:xf numFmtId="170" fontId="6" fillId="5" borderId="2" xfId="0" applyNumberFormat="1" applyFont="1" applyFill="1" applyBorder="1" applyAlignment="1">
      <x:alignment vertical="bottom" wrapText="1"/>
    </x:xf>
    <x:xf numFmtId="165" fontId="7" fillId="5" borderId="2" xfId="0" applyNumberFormat="1" applyFont="1" applyFill="1" applyBorder="1" applyAlignment="1">
      <x:alignment vertical="bottom" wrapText="1"/>
    </x:xf>
    <x:xf numFmtId="168" fontId="5" fillId="3" borderId="2" xfId="0" applyNumberFormat="1" applyFont="1" applyFill="1" applyBorder="1" applyAlignment="1">
      <x:alignment vertical="bottom" wrapText="1"/>
    </x:xf>
    <x:xf numFmtId="169" fontId="6" fillId="5" borderId="2" xfId="0" applyNumberFormat="1" applyFont="1" applyFill="1" applyBorder="1" applyAlignment="1">
      <x:alignment vertical="bottom" wrapText="1"/>
    </x:xf>
    <x:xf numFmtId="164" fontId="9" fillId="5" borderId="2" xfId="0" applyNumberFormat="1" applyFont="1" applyFill="1" applyBorder="1" applyAlignment="1">
      <x:alignment vertical="bottom" wrapText="1"/>
    </x:xf>
    <x:xf numFmtId="0" fontId="6" fillId="5" borderId="2" xfId="0" applyNumberFormat="1" applyFont="1" applyFill="1" applyBorder="1" applyAlignment="1">
      <x:alignment vertical="bottom" wrapText="1"/>
    </x:xf>
    <x:xf numFmtId="164" fontId="7" fillId="5" borderId="2" xfId="0" applyNumberFormat="1" applyFont="1" applyFill="1" applyBorder="1" applyAlignment="1">
      <x:alignment vertical="bottom" wrapText="1"/>
    </x:xf>
    <x:xf numFmtId="0" fontId="8" fillId="6" borderId="2" xfId="0" applyNumberFormat="1" applyFont="1" applyFill="1" applyBorder="1" applyAlignment="1">
      <x:alignment vertical="bottom" wrapText="1"/>
    </x:xf>
    <x:xf numFmtId="3" fontId="9" fillId="5" borderId="2" xfId="0" applyNumberFormat="1" applyFont="1" applyFill="1" applyBorder="1" applyAlignment="1">
      <x:alignment vertical="bottom" wrapText="1"/>
    </x:xf>
    <x:xf numFmtId="0" fontId="9" fillId="5" borderId="2" xfId="0" applyNumberFormat="1" applyFont="1" applyFill="1" applyBorder="1" applyAlignment="1">
      <x:alignment vertical="bottom" wrapText="1"/>
    </x:xf>
    <x:xf numFmtId="168" fontId="9" fillId="5" borderId="2" xfId="0" applyNumberFormat="1" applyFont="1" applyFill="1" applyBorder="1" applyAlignment="1">
      <x:alignment vertical="bottom" wrapText="1"/>
    </x:xf>
    <x:xf numFmtId="168" fontId="6" fillId="5" borderId="2" xfId="0" applyNumberFormat="1" applyFont="1" applyFill="1" applyBorder="1" applyAlignment="1">
      <x:alignment vertical="bottom" wrapText="1"/>
    </x:xf>
    <x:xf numFmtId="4" fontId="9" fillId="5" borderId="2" xfId="0" applyNumberFormat="1" applyFont="1" applyFill="1" applyBorder="1" applyAlignment="1">
      <x:alignment vertical="bottom" wrapText="1"/>
    </x:xf>
    <x:xf numFmtId="169" fontId="9" fillId="5" borderId="2" xfId="0" applyNumberFormat="1" applyFont="1" applyFill="1" applyBorder="1" applyAlignment="1">
      <x:alignment vertical="bottom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bottom" wrapText="1"/>
    </x:xf>
    <x:xf numFmtId="0" fontId="3" fillId="0" borderId="0" xfId="0" applyNumberFormat="1" applyFont="1" applyFill="1" applyBorder="1" applyAlignment="1">
      <x:alignment vertical="bottom" wrapText="1"/>
    </x:xf>
    <x:xf numFmtId="0" fontId="4" fillId="4" borderId="1" xfId="0" applyNumberFormat="1" applyFont="1" applyFill="1" applyBorder="1" applyAlignment="1">
      <x:alignment vertical="bottom" wrapText="1"/>
    </x:xf>
    <x:xf numFmtId="0" fontId="5" fillId="3" borderId="2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bottom" wrapText="0"/>
    </x:xf>
    <x:xf numFmtId="0" fontId="11" fillId="0" borderId="0" xfId="0" applyNumberFormat="1" applyFont="1" applyFill="1" applyBorder="1" applyAlignment="1">
      <x:alignment vertical="bottom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200" fontId="11" fillId="7" borderId="0" xfId="0" applyNumberFormat="1" applyFont="1" applyFill="1" applyBorder="1" applyAlignment="1">
      <x:alignment vertical="center" wrapText="1"/>
    </x:xf>
    <x:xf numFmtId="201" fontId="11" fillId="7" borderId="0" xfId="0" applyNumberFormat="1" applyFont="1" applyFill="1" applyBorder="1" applyAlignment="1">
      <x:alignment vertical="center" wrapText="1"/>
    </x:xf>
    <x:xf numFmtId="202" fontId="11" fillId="7" borderId="0" xfId="0" applyNumberFormat="1" applyFont="1" applyFill="1" applyBorder="1" applyAlignment="1">
      <x:alignment vertical="center" wrapText="1"/>
    </x:xf>
    <x:xf numFmtId="203" fontId="11" fillId="7" borderId="0" xfId="0" applyNumberFormat="1" applyFont="1" applyFill="1" applyBorder="1" applyAlignment="1">
      <x:alignment vertical="center" wrapText="1"/>
    </x:xf>
    <x:xf numFmtId="204" fontId="11" fillId="7" borderId="0" xfId="0" applyNumberFormat="1" applyFont="1" applyFill="1" applyBorder="1" applyAlignment="1">
      <x:alignment vertical="center" wrapText="1"/>
    </x:xf>
    <x:xf numFmtId="205" fontId="11" fillId="7" borderId="0" xfId="0" applyNumberFormat="1" applyFont="1" applyFill="1" applyBorder="1" applyAlignment="1">
      <x:alignment vertical="center" wrapText="1"/>
    </x:xf>
    <x:xf numFmtId="206" fontId="11" fillId="7" borderId="0" xfId="0" applyNumberFormat="1" applyFont="1" applyFill="1" applyBorder="1" applyAlignment="1">
      <x:alignment vertical="center" wrapText="1"/>
    </x:xf>
    <x:xf numFmtId="200" fontId="11" fillId="8" borderId="0" xfId="0" applyNumberFormat="1" applyFont="1" applyFill="1" applyBorder="1" applyAlignment="1">
      <x:alignment vertical="center" wrapText="1"/>
    </x:xf>
    <x:xf numFmtId="203" fontId="11" fillId="8" borderId="0" xfId="0" applyNumberFormat="1" applyFont="1" applyFill="1" applyBorder="1" applyAlignment="1">
      <x:alignment vertical="center" wrapText="1"/>
    </x:xf>
    <x:xf numFmtId="207" fontId="11" fillId="7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6" fontId="11" fillId="8" borderId="0" xfId="0" applyNumberFormat="1" applyFont="1" applyFill="1" applyBorder="1" applyAlignment="1">
      <x:alignment vertical="center" wrapText="1"/>
    </x:xf>
    <x:xf numFmtId="207" fontId="11" fillId="8" borderId="0" xfId="0" applyNumberFormat="1" applyFont="1" applyFill="1" applyBorder="1" applyAlignment="1">
      <x:alignment vertical="center" wrapText="1"/>
    </x:xf>
    <x:xf numFmtId="208" fontId="1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50a0f2ac74cd0" /><Relationship Type="http://schemas.openxmlformats.org/officeDocument/2006/relationships/theme" Target="/xl/theme/theme1.xml" Id="Rfcf0821d085c4618" /><Relationship Type="http://schemas.openxmlformats.org/officeDocument/2006/relationships/sharedStrings" Target="/xl/sharedStrings.xml" Id="R529b6455072b4237" /><Relationship Type="http://schemas.openxmlformats.org/officeDocument/2006/relationships/worksheet" Target="/xl/worksheets/sheet1.xml" Id="Rc449cb54267a4dae" /><Relationship Type="http://schemas.openxmlformats.org/officeDocument/2006/relationships/worksheet" Target="/xl/worksheets/sheet2.xml" Id="R353d616aea194915" /><Relationship Type="http://schemas.openxmlformats.org/officeDocument/2006/relationships/worksheet" Target="/xl/worksheets/sheet3.xml" Id="Rea09772e434f46f2" /><Relationship Type="http://schemas.openxmlformats.org/officeDocument/2006/relationships/worksheet" Target="/xl/worksheets/sheet4.xml" Id="Rb3407e37f90a4cf9" /><Relationship Type="http://schemas.openxmlformats.org/officeDocument/2006/relationships/worksheet" Target="/xl/worksheets/sheet5.xml" Id="R81e798a91a3844a0" /><Relationship Type="http://schemas.openxmlformats.org/officeDocument/2006/relationships/worksheet" Target="/xl/worksheets/sheet6.xml" Id="R4f2d375dd31a4a82" /><Relationship Type="http://schemas.openxmlformats.org/officeDocument/2006/relationships/worksheet" Target="/xl/worksheets/sheet7.xml" Id="R83de34b283f2405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859b0286ae1140ba" /><Relationship Type="http://schemas.openxmlformats.org/officeDocument/2006/relationships/vmlDrawing" Target="/xl/drawings/vmldrawing.vml" Id="R815673769f994ec8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52" customWidth="1"/>
    <x:col min="2" max="2" width="90" hidden="0" customWidth="1"/>
    <x:col min="3" max="8" width="15" customWidth="1"/>
    <x:col min="9" max="26" width="8.710000038146973" customWidth="1"/>
  </x:cols>
  <x:sheetData>
    <x:row r="1" ht="24" customHeight="1">
      <x:c r="A1" s="1" t="s">
        <x:v>0</x:v>
      </x:c>
      <x:c r="B1" s="2"/>
      <x:c r="C1" s="2"/>
      <x:c r="D1" s="2"/>
      <x:c r="E1" s="2"/>
      <x:c r="F1" s="2"/>
      <x:c r="G1" s="2"/>
      <x:c r="H1" s="2"/>
    </x:row>
    <x:row r="2">
      <x:c r="A2" s="3" t="s">
        <x:v>1</x:v>
      </x:c>
    </x:row>
    <x:row r="4">
      <x:c r="A4" s="4" t="s">
        <x:v>2</x:v>
      </x:c>
    </x:row>
    <x:row r="5">
      <x:c r="A5" s="5" t="s">
        <x:v>3</x:v>
      </x:c>
      <x:c r="B5" s="6" t="s">
        <x:v>4</x:v>
      </x:c>
    </x:row>
    <x:row r="6">
      <x:c r="A6" s="8" t="s">
        <x:v>5</x:v>
      </x:c>
      <x:c r="B6" s="6" t="s">
        <x:v>6</x:v>
      </x:c>
    </x:row>
    <x:row r="7">
      <x:c r="A7" s="9" t="s">
        <x:v>7</x:v>
      </x:c>
      <x:c r="B7" s="6" t="s">
        <x:v>8</x:v>
      </x:c>
    </x:row>
    <x:row r="8">
      <x:c r="A8" s="11" t="s">
        <x:v>9</x:v>
      </x:c>
      <x:c r="B8" s="6" t="s">
        <x:v>10</x:v>
      </x:c>
    </x:row>
    <x:row r="10">
      <x:c r="A10" s="4" t="s">
        <x:v>11</x:v>
      </x:c>
    </x:row>
    <x:row r="11">
      <x:c r="A11" s="12" t="s">
        <x:v>12</x:v>
      </x:c>
      <x:c r="B11" s="6" t="s">
        <x:v>13</x:v>
      </x:c>
    </x:row>
    <x:row r="12">
      <x:c r="A12" s="12" t="s">
        <x:v>14</x:v>
      </x:c>
      <x:c r="B12" s="6" t="s">
        <x:v>15</x:v>
      </x:c>
    </x:row>
    <x:row r="13">
      <x:c r="A13" s="12" t="s">
        <x:v>16</x:v>
      </x:c>
      <x:c r="B13" s="6" t="s">
        <x:v>17</x:v>
      </x:c>
    </x:row>
    <x:row r="14">
      <x:c r="A14" s="12" t="s">
        <x:v>18</x:v>
      </x:c>
      <x:c r="B14" s="6" t="s">
        <x:v>19</x:v>
      </x:c>
    </x:row>
    <x:row r="15">
      <x:c r="A15" s="12" t="s">
        <x:v>20</x:v>
      </x:c>
      <x:c r="B15" s="6" t="s">
        <x:v>21</x:v>
      </x:c>
    </x:row>
    <x:row r="16">
      <x:c r="A16" s="12" t="s">
        <x:v>22</x:v>
      </x:c>
      <x:c r="B16" s="6" t="s">
        <x:v>23</x:v>
      </x:c>
    </x:row>
    <x:row r="18">
      <x:c r="A18" s="4" t="s">
        <x:v>24</x:v>
      </x:c>
    </x:row>
    <x:row r="19">
      <x:c r="A19" s="6" t="s">
        <x:v>25</x:v>
      </x:c>
    </x:row>
    <x:row r="20">
      <x:c r="A20" s="6" t="s">
        <x:v>26</x:v>
      </x:c>
    </x:row>
    <x:row r="21" ht="15.75" customHeight="1">
      <x:c r="A21" s="6" t="s">
        <x:v>27</x:v>
      </x:c>
    </x:row>
    <x:row r="22" ht="15.75" customHeight="1"/>
    <x:row r="23" ht="15.75" customHeight="1">
      <x:c r="A23" s="3" t="s">
        <x:v>28</x:v>
      </x:c>
    </x:row>
    <x:row r="24" ht="15.75" customHeight="1">
      <x:c r="A24" s="3" t="s">
        <x:v>29</x:v>
      </x:c>
    </x:row>
    <x:row r="25" ht="15.75" customHeight="1"/>
    <x:row r="26" ht="15.75" customHeight="1"/>
    <x:row r="27" ht="60" customHeight="1">
      <x:c r="A27" s="83" t="str">
        <x:v>PHẠM VI DATA-17</x:v>
      </x:c>
      <x:c r="B27" s="83" t="str">
        <x:v>Nguồn chính metrics-pack.md; dự án đang triển khai, chưa số liệu quan sát. Tab1–2 và CAC là dự toán tự động hóa sau pilot.</x:v>
      </x:c>
    </x:row>
    <x:row r="28" ht="60" customHeight="1">
      <x:c r="A28" s="83" t="str">
        <x:v>User và buyer</x:v>
      </x:c>
      <x:c r="B28" s="83" t="str">
        <x:v>User Data Steward VSF; buyer Head of Data/CDO. Core action Steward và job AI usage tách bằng actor_type.</x:v>
      </x:c>
    </x:row>
    <x:row r="29" ht="60" customHeight="1">
      <x:c r="A29" s="83" t="str">
        <x:v>Kịch bản đang tính</x:v>
      </x:c>
      <x:c r="B29" s="83" t="str">
        <x:v>100k attempts, R80% clean auto-resolves sau14d, HITL A. Không áp dụng R80% riêng queue vùng xám; queue vẫn do Steward.</x:v>
      </x:c>
    </x:row>
    <x:row r="30" ht="60" customHeight="1">
      <x:c r="A30" s="83" t="str">
        <x:v>Điều kiện usage</x:v>
      </x:c>
      <x:c r="B30" s="83" t="str">
        <x:v>Holdout/pilot qua quality gate, log commit/actor/version, cohort14d, thỏa thuận billing/PII. Pilot hiện tại phí cố định theo phạm vi.</x:v>
      </x:c>
    </x:row>
    <x:row r="31" ht="60" customHeight="1">
      <x:c r="A31" s="83" t="str">
        <x:v>Công thức mẫu</x:v>
      </x:c>
      <x:c r="B31" s="83" t="str">
        <x:v>PricingB33 là ngưỡngGM60%, không GM0. Mẫu hiện0 khiR0: không suy ra chi phí miễn phí. Đối soát Hybrid và ngưỡng tạiPricing55:78.</x:v>
      </x:c>
    </x:row>
    <x:row r="32" ht="60" customHeight="1">
      <x:c r="A32" s="83" t="str">
        <x:v>Nguồn/đồng tiền</x:v>
      </x:c>
      <x:c r="B32" s="83" t="str">
        <x:v>USD quyết định; FX26k chỉ minh họa. Benchmarks45:63 là nguồn/giả định DATA17; giữ nguyên bảng tham chiếu1:43.</x:v>
      </x:c>
    </x:row>
    <x:row r="33" ht="60" customHeight="1">
      <x:c r="A33" s="83" t="str">
        <x:v>Tên mẫu DAY28</x:v>
      </x:c>
      <x:c r="B33" s="83" t="str">
        <x:v>Bài này Day22 theoHD_Lab22.md. Giữ nguyên tab/công thức xám. Thêm đối soát Hybrid vì mẫu chỉ tính giá/job.</x:v>
      </x:c>
    </x:row>
    <x:row r="34" ht="60" customHeight="1">
      <x:c r="A34" s="83" t="str">
        <x:v>Hóa đơn</x:v>
      </x:c>
      <x:c r="B34" s="83" t="str">
        <x:v>tenant+pair+decision_version tính1lần sau14d; không retry/Steward/rollback. Month1 có lag usage; dự toán tháng steady state.</x:v>
      </x:c>
    </x:row>
    <x:row r="35" ht="60" customHeight="1">
      <x:c r="A35" s="83" t="str">
        <x:v>Evidence</x:v>
      </x:c>
      <x:c r="B35" s="83" t="str">
        <x:v>Có eval plan, Q&amp;A dự thảo, pilot template. Chưa kết quả eval/pilot/đọc thử. Hinh accountable; DE/ML/Security cần bố trí.</x:v>
      </x:c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2" customWidth="1"/>
    <x:col min="5" max="8" width="15" customWidth="1"/>
    <x:col min="9" max="26" width="8.710000038146973" customWidth="1"/>
    <x:col min="2" max="2" width="55" hidden="0" customWidth="1"/>
  </x:cols>
  <x:sheetData>
    <x:row r="1" ht="24" customHeight="1">
      <x:c r="A1" s="1" t="s">
        <x:v>30</x:v>
      </x:c>
      <x:c r="B1" s="45"/>
      <x:c r="C1" s="2"/>
      <x:c r="D1" s="2"/>
      <x:c r="E1" s="2"/>
      <x:c r="F1" s="2"/>
      <x:c r="G1" s="2"/>
      <x:c r="H1" s="2"/>
    </x:row>
    <x:row r="2">
      <x:c r="A2" s="3" t="s">
        <x:v>31</x:v>
      </x:c>
      <x:c r="B2" s="46"/>
    </x:row>
    <x:row r="3">
      <x:c r="B3" s="46"/>
    </x:row>
    <x:row r="4">
      <x:c r="A4" s="7" t="s">
        <x:v>32</x:v>
      </x:c>
      <x:c r="B4" s="47"/>
      <x:c r="C4" s="10"/>
      <x:c r="D4" s="10"/>
      <x:c r="E4" s="10"/>
      <x:c r="F4" s="10"/>
      <x:c r="G4" s="10"/>
      <x:c r="H4" s="10"/>
    </x:row>
    <x:row r="5" ht="100" customHeight="1">
      <x:c r="A5" s="6" t="s">
        <x:v>33</x:v>
      </x:c>
      <x:c r="B5" s="75" t="str">
        <x:v>DỰ TOÁN SAU PILOT: 1 pair do AI tự Approve/Reject, commit merge/cannot-link, có audit và không revert sau 14 ngày. Loại ca Steward quyết định, retry và trùng version.</x:v>
      </x:c>
      <x:c r="D5" s="3" t="s">
        <x:v>34</x:v>
      </x:c>
    </x:row>
    <x:row r="6">
      <x:c r="A6" s="6" t="s">
        <x:v>35</x:v>
      </x:c>
      <x:c r="B6" s="49" t="str">
        <x:v>A</x:v>
      </x:c>
      <x:c r="D6" s="3" t="s">
        <x:v>36</x:v>
      </x:c>
    </x:row>
    <x:row r="7">
      <x:c r="B7" s="46"/>
    </x:row>
    <x:row r="8">
      <x:c r="A8" s="7" t="s">
        <x:v>37</x:v>
      </x:c>
      <x:c r="B8" s="47"/>
      <x:c r="C8" s="10"/>
      <x:c r="D8" s="10"/>
      <x:c r="E8" s="10"/>
      <x:c r="F8" s="10"/>
      <x:c r="G8" s="10"/>
      <x:c r="H8" s="10"/>
    </x:row>
    <x:row r="9">
      <x:c r="A9" s="6" t="s">
        <x:v>38</x:v>
      </x:c>
      <x:c r="B9" s="50" t="n">
        <x:v>100000</x:v>
      </x:c>
      <x:c r="C9" s="3" t="s">
        <x:v>39</x:v>
      </x:c>
    </x:row>
    <x:row r="10">
      <x:c r="A10" s="6" t="s">
        <x:v>40</x:v>
      </x:c>
      <x:c r="B10" s="51" t="n">
        <x:v>0.8</x:v>
      </x:c>
      <x:c r="D10" s="17" t="s">
        <x:v>41</x:v>
      </x:c>
    </x:row>
    <x:row r="11">
      <x:c r="A11" s="6" t="s">
        <x:v>42</x:v>
      </x:c>
      <x:c r="B11" s="52" t="n">
        <x:f>B9*B10</x:f>
        <x:v>80000</x:v>
      </x:c>
      <x:c r="C11" s="3" t="s">
        <x:v>39</x:v>
      </x:c>
      <x:c r="D11" s="3" t="s">
        <x:v>43</x:v>
      </x:c>
    </x:row>
    <x:row r="12">
      <x:c r="A12" s="6" t="s">
        <x:v>44</x:v>
      </x:c>
      <x:c r="B12" s="52" t="n">
        <x:f>B9-B11</x:f>
        <x:v>20000</x:v>
      </x:c>
      <x:c r="C12" s="3" t="s">
        <x:v>39</x:v>
      </x:c>
      <x:c r="D12" s="3" t="s">
        <x:v>45</x:v>
      </x:c>
    </x:row>
    <x:row r="13">
      <x:c r="B13" s="46"/>
    </x:row>
    <x:row r="14">
      <x:c r="A14" s="7" t="s">
        <x:v>46</x:v>
      </x:c>
      <x:c r="B14" s="47"/>
      <x:c r="C14" s="10"/>
      <x:c r="D14" s="10"/>
      <x:c r="E14" s="10"/>
      <x:c r="F14" s="10"/>
      <x:c r="G14" s="10"/>
      <x:c r="H14" s="10"/>
    </x:row>
    <x:row r="15">
      <x:c r="A15" s="6" t="s">
        <x:v>47</x:v>
      </x:c>
      <x:c r="B15" s="53" t="n">
        <x:v>0.75</x:v>
      </x:c>
      <x:c r="D15" s="3" t="s">
        <x:v>48</x:v>
      </x:c>
    </x:row>
    <x:row r="16">
      <x:c r="A16" s="6" t="s">
        <x:v>49</x:v>
      </x:c>
      <x:c r="B16" s="53" t="n">
        <x:v>3.75</x:v>
      </x:c>
    </x:row>
    <x:row r="17">
      <x:c r="A17" s="6" t="s">
        <x:v>50</x:v>
      </x:c>
      <x:c r="B17" s="53" t="n">
        <x:v>0</x:v>
      </x:c>
      <x:c r="D17" s="3" t="s">
        <x:v>51</x:v>
      </x:c>
    </x:row>
    <x:row r="18">
      <x:c r="A18" s="6" t="s">
        <x:v>52</x:v>
      </x:c>
      <x:c r="B18" s="53" t="n">
        <x:v>0</x:v>
      </x:c>
      <x:c r="D18" s="3" t="s">
        <x:v>53</x:v>
      </x:c>
    </x:row>
    <x:row r="19">
      <x:c r="A19" s="6" t="s">
        <x:v>54</x:v>
      </x:c>
      <x:c r="B19" s="50" t="n">
        <x:v>1</x:v>
      </x:c>
      <x:c r="C19" s="3" t="s">
        <x:v>55</x:v>
      </x:c>
    </x:row>
    <x:row r="20">
      <x:c r="A20" s="6" t="s">
        <x:v>56</x:v>
      </x:c>
      <x:c r="B20" s="50" t="n">
        <x:v>0</x:v>
      </x:c>
      <x:c r="C20" s="3" t="s">
        <x:v>57</x:v>
      </x:c>
      <x:c r="D20" s="3" t="s">
        <x:v>58</x:v>
      </x:c>
    </x:row>
    <x:row r="21" ht="15.75" customHeight="1">
      <x:c r="A21" s="6" t="s">
        <x:v>59</x:v>
      </x:c>
      <x:c r="B21" s="50" t="n">
        <x:v>1000</x:v>
      </x:c>
      <x:c r="C21" s="3" t="s">
        <x:v>57</x:v>
      </x:c>
      <x:c r="D21" s="3" t="s">
        <x:v>60</x:v>
      </x:c>
    </x:row>
    <x:row r="22" ht="15.75" customHeight="1">
      <x:c r="A22" s="6" t="s">
        <x:v>61</x:v>
      </x:c>
      <x:c r="B22" s="50" t="n">
        <x:v>200</x:v>
      </x:c>
      <x:c r="C22" s="3" t="s">
        <x:v>57</x:v>
      </x:c>
    </x:row>
    <x:row r="23" ht="15.75" customHeight="1">
      <x:c r="A23" s="6" t="s">
        <x:v>62</x:v>
      </x:c>
      <x:c r="B23" s="54" t="n">
        <x:f>B20*B17/1000000</x:f>
        <x:v>0</x:v>
      </x:c>
    </x:row>
    <x:row r="24" ht="15.75" customHeight="1">
      <x:c r="A24" s="6" t="s">
        <x:v>63</x:v>
      </x:c>
      <x:c r="B24" s="54" t="n">
        <x:f>(B19-1)*B20*B18/1000000</x:f>
        <x:v>0</x:v>
      </x:c>
    </x:row>
    <x:row r="25" ht="15.75" customHeight="1">
      <x:c r="A25" s="6" t="s">
        <x:v>64</x:v>
      </x:c>
      <x:c r="B25" s="54" t="n">
        <x:f>B19*B21*B15/1000000</x:f>
        <x:v>0.00075</x:v>
      </x:c>
    </x:row>
    <x:row r="26" ht="15.75" customHeight="1">
      <x:c r="A26" s="6" t="s">
        <x:v>65</x:v>
      </x:c>
      <x:c r="B26" s="54" t="n">
        <x:f>B19*B22*B16/1000000</x:f>
        <x:v>0.00075</x:v>
      </x:c>
    </x:row>
    <x:row r="27" ht="15.75" customHeight="1">
      <x:c r="A27" s="12" t="s">
        <x:v>66</x:v>
      </x:c>
      <x:c r="B27" s="55" t="n">
        <x:f>SUM(B23:B26)</x:f>
        <x:v>0.0015</x:v>
      </x:c>
    </x:row>
    <x:row r="28" ht="15.75" customHeight="1">
      <x:c r="A28" s="6" t="s">
        <x:v>67</x:v>
      </x:c>
      <x:c r="B28" s="54" t="n">
        <x:f>B19*(B20+B21)*B15/1000000+B26</x:f>
        <x:v>0.0015</x:v>
      </x:c>
    </x:row>
    <x:row r="29" ht="15.75" customHeight="1">
      <x:c r="A29" s="6" t="s">
        <x:v>68</x:v>
      </x:c>
      <x:c r="B29" s="56" t="n">
        <x:f>IF(B28=0,0,1-B27/B28)</x:f>
        <x:v>0</x:v>
      </x:c>
      <x:c r="D29" s="3" t="s">
        <x:v>69</x:v>
      </x:c>
    </x:row>
    <x:row r="30" ht="15.75" customHeight="1">
      <x:c r="A30" s="6" t="s">
        <x:v>70</x:v>
      </x:c>
      <x:c r="B30" s="50" t="n">
        <x:v>0</x:v>
      </x:c>
      <x:c r="D30" s="3" t="s">
        <x:v>71</x:v>
      </x:c>
    </x:row>
    <x:row r="31" ht="15.75" customHeight="1">
      <x:c r="A31" s="12" t="s">
        <x:v>72</x:v>
      </x:c>
      <x:c r="B31" s="55" t="n">
        <x:f>B27*(1-B30*0.5)</x:f>
        <x:v>0.0015</x:v>
      </x:c>
    </x:row>
    <x:row r="32" ht="15.75" customHeight="1">
      <x:c r="B32" s="46"/>
    </x:row>
    <x:row r="33" ht="15.75" customHeight="1">
      <x:c r="A33" s="7" t="s">
        <x:v>73</x:v>
      </x:c>
      <x:c r="B33" s="47"/>
      <x:c r="C33" s="10"/>
      <x:c r="D33" s="10"/>
      <x:c r="E33" s="10"/>
      <x:c r="F33" s="10"/>
      <x:c r="G33" s="10"/>
      <x:c r="H33" s="10"/>
    </x:row>
    <x:row r="34" ht="15.75" customHeight="1">
      <x:c r="A34" s="6" t="s">
        <x:v>74</x:v>
      </x:c>
      <x:c r="B34" s="57" t="n">
        <x:v>0</x:v>
      </x:c>
      <x:c r="D34" s="3" t="s">
        <x:v>75</x:v>
      </x:c>
    </x:row>
    <x:row r="35" ht="15.75" customHeight="1">
      <x:c r="A35" s="6" t="s">
        <x:v>76</x:v>
      </x:c>
      <x:c r="B35" s="58" t="n">
        <x:v>0</x:v>
      </x:c>
      <x:c r="C35" s="3" t="s">
        <x:v>77</x:v>
      </x:c>
    </x:row>
    <x:row r="36" ht="15.75" customHeight="1">
      <x:c r="A36" s="6" t="s">
        <x:v>78</x:v>
      </x:c>
      <x:c r="B36" s="53" t="n">
        <x:v>0</x:v>
      </x:c>
      <x:c r="D36" s="3" t="s">
        <x:v>79</x:v>
      </x:c>
    </x:row>
    <x:row r="37" ht="15.75" customHeight="1">
      <x:c r="A37" s="6" t="s">
        <x:v>80</x:v>
      </x:c>
      <x:c r="B37" s="50" t="n">
        <x:v>0</x:v>
      </x:c>
      <x:c r="C37" s="3" t="s">
        <x:v>81</x:v>
      </x:c>
      <x:c r="D37" s="3" t="s">
        <x:v>82</x:v>
      </x:c>
    </x:row>
    <x:row r="38" ht="15.75" customHeight="1">
      <x:c r="A38" s="6" t="s">
        <x:v>83</x:v>
      </x:c>
      <x:c r="B38" s="54" t="n">
        <x:f>B34*B35+B36*B37/1000000</x:f>
        <x:v>0</x:v>
      </x:c>
    </x:row>
    <x:row r="39" ht="15.75" customHeight="1">
      <x:c r="B39" s="46"/>
    </x:row>
    <x:row r="40" ht="15.75" customHeight="1">
      <x:c r="A40" s="7" t="s">
        <x:v>84</x:v>
      </x:c>
      <x:c r="B40" s="47"/>
      <x:c r="C40" s="10"/>
      <x:c r="D40" s="10"/>
      <x:c r="E40" s="10"/>
      <x:c r="F40" s="10"/>
      <x:c r="G40" s="10"/>
      <x:c r="H40" s="10"/>
    </x:row>
    <x:row r="41" ht="15.75" customHeight="1">
      <x:c r="A41" s="6" t="s">
        <x:v>85</x:v>
      </x:c>
      <x:c r="B41" s="57" t="n">
        <x:v>0.005</x:v>
      </x:c>
      <x:c r="D41" s="3" t="s">
        <x:v>86</x:v>
      </x:c>
    </x:row>
    <x:row r="42" ht="15.75" customHeight="1">
      <x:c r="A42" s="6" t="s">
        <x:v>87</x:v>
      </x:c>
      <x:c r="B42" s="57" t="n">
        <x:v>0</x:v>
      </x:c>
    </x:row>
    <x:row r="43" ht="15.75" customHeight="1">
      <x:c r="A43" s="6" t="s">
        <x:v>88</x:v>
      </x:c>
      <x:c r="B43" s="54" t="n">
        <x:f>B41+B42*B35</x:f>
        <x:v>0.005</x:v>
      </x:c>
    </x:row>
    <x:row r="44" ht="15.75" customHeight="1">
      <x:c r="B44" s="46"/>
    </x:row>
    <x:row r="45" ht="15.75" customHeight="1">
      <x:c r="A45" s="7" t="s">
        <x:v>89</x:v>
      </x:c>
      <x:c r="B45" s="47"/>
      <x:c r="C45" s="10"/>
      <x:c r="D45" s="10"/>
      <x:c r="E45" s="10"/>
      <x:c r="F45" s="10"/>
      <x:c r="G45" s="10"/>
      <x:c r="H45" s="10"/>
    </x:row>
    <x:row r="46" ht="15.75" customHeight="1">
      <x:c r="A46" s="6" t="s">
        <x:v>90</x:v>
      </x:c>
      <x:c r="B46" s="51" t="n">
        <x:v>0.05</x:v>
      </x:c>
      <x:c r="D46" s="3" t="s">
        <x:v>91</x:v>
      </x:c>
    </x:row>
    <x:row r="47" ht="15.75" customHeight="1">
      <x:c r="A47" s="6" t="s">
        <x:v>92</x:v>
      </x:c>
      <x:c r="B47" s="54" t="n">
        <x:f>(B31+B38)*B46</x:f>
        <x:v>0.00007500000000000001</x:v>
      </x:c>
    </x:row>
    <x:row r="48" ht="15.75" customHeight="1">
      <x:c r="B48" s="46"/>
    </x:row>
    <x:row r="49" ht="15.75" customHeight="1">
      <x:c r="A49" s="7" t="s">
        <x:v>93</x:v>
      </x:c>
      <x:c r="B49" s="47"/>
      <x:c r="C49" s="10"/>
      <x:c r="D49" s="10"/>
      <x:c r="E49" s="10"/>
      <x:c r="F49" s="10"/>
      <x:c r="G49" s="10"/>
      <x:c r="H49" s="10"/>
    </x:row>
    <x:row r="50" ht="15.75" customHeight="1">
      <x:c r="A50" s="6" t="s">
        <x:v>94</x:v>
      </x:c>
      <x:c r="B50" s="53" t="n">
        <x:v>10</x:v>
      </x:c>
      <x:c r="D50" s="3" t="s">
        <x:v>95</x:v>
      </x:c>
    </x:row>
    <x:row r="51" ht="15.75" customHeight="1">
      <x:c r="A51" s="6" t="s">
        <x:v>96</x:v>
      </x:c>
      <x:c r="B51" s="51" t="n">
        <x:v>0.01</x:v>
      </x:c>
      <x:c r="D51" s="3" t="s">
        <x:v>97</x:v>
      </x:c>
    </x:row>
    <x:row r="52" ht="15.75" customHeight="1">
      <x:c r="A52" s="6" t="s">
        <x:v>98</x:v>
      </x:c>
      <x:c r="B52" s="58" t="n">
        <x:v>1</x:v>
      </x:c>
      <x:c r="C52" s="3" t="s">
        <x:v>77</x:v>
      </x:c>
    </x:row>
    <x:row r="53" ht="15.75" customHeight="1">
      <x:c r="A53" s="6" t="s">
        <x:v>99</x:v>
      </x:c>
      <x:c r="B53" s="58" t="n">
        <x:v>1</x:v>
      </x:c>
      <x:c r="C53" s="3" t="s">
        <x:v>77</x:v>
      </x:c>
    </x:row>
    <x:row r="54" ht="15.75" customHeight="1">
      <x:c r="A54" s="6" t="s">
        <x:v>100</x:v>
      </x:c>
      <x:c r="B54" s="59" t="n">
        <x:f>B9*B51*(B52/60)*B50</x:f>
        <x:v>166.66666666666669</x:v>
      </x:c>
    </x:row>
    <x:row r="55" ht="15.75" customHeight="1">
      <x:c r="A55" s="6" t="s">
        <x:v>101</x:v>
      </x:c>
      <x:c r="B55" s="59" t="n">
        <x:f>IF(B6="B",B12*(B53/60)*B50,0)</x:f>
        <x:v>0</x:v>
      </x:c>
      <x:c r="D55" s="3" t="s">
        <x:v>102</x:v>
      </x:c>
    </x:row>
    <x:row r="56" ht="15.75" customHeight="1">
      <x:c r="A56" s="12" t="s">
        <x:v>103</x:v>
      </x:c>
      <x:c r="B56" s="60" t="n">
        <x:f>B54+B55</x:f>
        <x:v>166.66666666666669</x:v>
      </x:c>
    </x:row>
    <x:row r="57" ht="15.75" customHeight="1">
      <x:c r="B57" s="46"/>
    </x:row>
    <x:row r="58" ht="15.75" customHeight="1">
      <x:c r="A58" s="7" t="s">
        <x:v>104</x:v>
      </x:c>
      <x:c r="B58" s="47"/>
      <x:c r="C58" s="10"/>
      <x:c r="D58" s="10"/>
      <x:c r="E58" s="10"/>
      <x:c r="F58" s="10"/>
      <x:c r="G58" s="10"/>
      <x:c r="H58" s="10"/>
    </x:row>
    <x:row r="59" ht="15.75" customHeight="1">
      <x:c r="A59" s="6" t="s">
        <x:v>105</x:v>
      </x:c>
      <x:c r="B59" s="53" t="n">
        <x:v>3000</x:v>
      </x:c>
      <x:c r="D59" s="3" t="s">
        <x:v>106</x:v>
      </x:c>
    </x:row>
    <x:row r="60" ht="15.75" customHeight="1">
      <x:c r="B60" s="46"/>
    </x:row>
    <x:row r="61" ht="15.75" customHeight="1">
      <x:c r="A61" s="7" t="s">
        <x:v>107</x:v>
      </x:c>
      <x:c r="B61" s="47"/>
      <x:c r="C61" s="10"/>
      <x:c r="D61" s="10"/>
      <x:c r="E61" s="10"/>
      <x:c r="F61" s="10"/>
      <x:c r="G61" s="10"/>
      <x:c r="H61" s="10"/>
    </x:row>
    <x:row r="62" ht="15.75" customHeight="1">
      <x:c r="A62" s="6" t="s">
        <x:v>108</x:v>
      </x:c>
      <x:c r="B62" s="59" t="n">
        <x:f>B9*(B31+B38+B43+B47)</x:f>
        <x:v>657.5000000000001</x:v>
      </x:c>
    </x:row>
    <x:row r="63" ht="15.75" customHeight="1">
      <x:c r="A63" s="6" t="s">
        <x:v>109</x:v>
      </x:c>
      <x:c r="B63" s="59" t="n">
        <x:f>B56</x:f>
        <x:v>166.66666666666669</x:v>
      </x:c>
    </x:row>
    <x:row r="64" ht="15.75" customHeight="1">
      <x:c r="A64" s="6" t="s">
        <x:v>110</x:v>
      </x:c>
      <x:c r="B64" s="59" t="n">
        <x:f>B59</x:f>
        <x:v>3000</x:v>
      </x:c>
    </x:row>
    <x:row r="65" ht="15.75" customHeight="1">
      <x:c r="A65" s="6" t="s">
        <x:v>111</x:v>
      </x:c>
      <x:c r="B65" s="59" t="n">
        <x:f>B62+B63+B64</x:f>
        <x:v>3824.166666666667</x:v>
      </x:c>
    </x:row>
    <x:row r="66" ht="15.75" customHeight="1">
      <x:c r="A66" s="12" t="s">
        <x:v>112</x:v>
      </x:c>
      <x:c r="B66" s="55" t="n">
        <x:f>IF(B11=0,0,(B62+B63)/B11)</x:f>
        <x:v>0.010302083333333335</x:v>
      </x:c>
      <x:c r="C66" s="3" t="s">
        <x:v>113</x:v>
      </x:c>
      <x:c r="D66" s="3" t="s">
        <x:v>114</x:v>
      </x:c>
    </x:row>
    <x:row r="67" ht="15.75" customHeight="1">
      <x:c r="A67" s="12" t="s">
        <x:v>115</x:v>
      </x:c>
      <x:c r="B67" s="55" t="n">
        <x:f>IF(B11=0,0,B65/B11)</x:f>
        <x:v>0.047802083333333335</x:v>
      </x:c>
      <x:c r="C67" s="3" t="s">
        <x:v>113</x:v>
      </x:c>
    </x:row>
    <x:row r="68" ht="15.75" customHeight="1">
      <x:c r="A68" s="6" t="s">
        <x:v>116</x:v>
      </x:c>
      <x:c r="B68" s="50" t="n">
        <x:v>26000</x:v>
      </x:c>
      <x:c r="C68" s="3" t="s">
        <x:v>117</x:v>
      </x:c>
      <x:c r="D68" s="3" t="s">
        <x:v>118</x:v>
      </x:c>
    </x:row>
    <x:row r="69" ht="15.75" customHeight="1">
      <x:c r="A69" s="6" t="s">
        <x:v>119</x:v>
      </x:c>
      <x:c r="B69" s="61" t="n">
        <x:f>B66*B68</x:f>
        <x:v>267.8541666666667</x:v>
      </x:c>
      <x:c r="C69" s="3" t="s">
        <x:v>120</x:v>
      </x:c>
    </x:row>
    <x:row r="70" ht="15.75" customHeight="1">
      <x:c r="B70" s="46"/>
    </x:row>
    <x:row r="71" ht="15.75" customHeight="1">
      <x:c r="A71" s="7" t="s">
        <x:v>121</x:v>
      </x:c>
      <x:c r="B71" s="47"/>
      <x:c r="C71" s="10"/>
      <x:c r="D71" s="10"/>
      <x:c r="E71" s="10"/>
      <x:c r="F71" s="10"/>
      <x:c r="G71" s="10"/>
      <x:c r="H71" s="10"/>
    </x:row>
    <x:row r="72" ht="15.75" customHeight="1">
      <x:c r="A72" s="6" t="s">
        <x:v>122</x:v>
      </x:c>
      <x:c r="B72" s="59" t="n">
        <x:f>B9*B31</x:f>
        <x:v>150</x:v>
      </x:c>
      <x:c r="C72" s="28" t="n">
        <x:f t="shared" ref="C72:C77" si="1">IF($B$65=0,0,B72/$B$65)</x:f>
        <x:v>0.039224231858792764</x:v>
      </x:c>
    </x:row>
    <x:row r="73" ht="15.75" customHeight="1">
      <x:c r="A73" s="6" t="s">
        <x:v>123</x:v>
      </x:c>
      <x:c r="B73" s="59" t="n">
        <x:f>B9*B38</x:f>
        <x:v>0</x:v>
      </x:c>
      <x:c r="C73" s="28" t="n">
        <x:f t="shared" si="1">IF($B$65=0,0,B73/$B$65)</x:f>
        <x:v>0</x:v>
      </x:c>
    </x:row>
    <x:row r="74" ht="15.75" customHeight="1">
      <x:c r="A74" s="6" t="s">
        <x:v>124</x:v>
      </x:c>
      <x:c r="B74" s="59" t="n">
        <x:f>B9*B43</x:f>
        <x:v>500</x:v>
      </x:c>
      <x:c r="C74" s="28" t="n">
        <x:f t="shared" si="1">IF($B$65=0,0,B74/$B$65)</x:f>
        <x:v>0.1307474395293092</x:v>
      </x:c>
    </x:row>
    <x:row r="75" ht="15.75" customHeight="1">
      <x:c r="A75" s="6" t="s">
        <x:v>125</x:v>
      </x:c>
      <x:c r="B75" s="59" t="n">
        <x:f>B9*B47</x:f>
        <x:v>7.500000000000001</x:v>
      </x:c>
      <x:c r="C75" s="28" t="n">
        <x:f t="shared" si="1">IF($B$65=0,0,B75/$B$65)</x:f>
        <x:v>0.0019612115929396384</x:v>
      </x:c>
    </x:row>
    <x:row r="76" ht="15.75" customHeight="1">
      <x:c r="A76" s="6" t="s">
        <x:v>126</x:v>
      </x:c>
      <x:c r="B76" s="59" t="n">
        <x:f>B56</x:f>
        <x:v>166.66666666666669</x:v>
      </x:c>
      <x:c r="C76" s="28" t="n">
        <x:f t="shared" si="1">IF($B$65=0,0,B76/$B$65)</x:f>
        <x:v>0.043582479843103074</x:v>
      </x:c>
    </x:row>
    <x:row r="77" ht="15.75" customHeight="1">
      <x:c r="A77" s="6" t="s">
        <x:v>127</x:v>
      </x:c>
      <x:c r="B77" s="59" t="n">
        <x:f>B59</x:f>
        <x:v>3000</x:v>
      </x:c>
      <x:c r="C77" s="28" t="n">
        <x:f t="shared" si="1">IF($B$65=0,0,B77/$B$65)</x:f>
        <x:v>0.7844846371758553</x:v>
      </x:c>
    </x:row>
    <x:row r="78" ht="15.75" customHeight="1">
      <x:c r="A78" s="3" t="s">
        <x:v>128</x:v>
      </x:c>
      <x:c r="B78" s="46"/>
    </x:row>
    <x:row r="79" ht="15.75" customHeight="1">
      <x:c r="B79" s="46"/>
    </x:row>
    <x:row r="80" ht="15.75" customHeight="1">
      <x:c r="B80" s="46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6">
      <x:formula1>"A,B"</x:formula1>
    </x:dataValidation>
  </x:dataValidations>
  <x:pageMargins left="0.7" right="0.7" top="0.75" bottom="0.75" header="0.3" footer="0.3"/>
  <x:legacyDrawing xmlns:r="http://schemas.openxmlformats.org/officeDocument/2006/relationships" r:id="R815673769f994ec8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  <x:col min="2" max="2" width="42" hidden="0" customWidth="1"/>
  </x:cols>
  <x:sheetData>
    <x:row r="1" ht="24" customHeight="1">
      <x:c r="A1" s="1" t="s">
        <x:v>129</x:v>
      </x:c>
      <x:c r="B1" s="45"/>
      <x:c r="C1" s="2"/>
      <x:c r="D1" s="2"/>
      <x:c r="E1" s="2"/>
      <x:c r="F1" s="2"/>
      <x:c r="G1" s="2"/>
      <x:c r="H1" s="2"/>
    </x:row>
    <x:row r="2">
      <x:c r="A2" s="3" t="s">
        <x:v>130</x:v>
      </x:c>
      <x:c r="B2" s="46"/>
    </x:row>
    <x:row r="3">
      <x:c r="B3" s="46"/>
    </x:row>
    <x:row r="4">
      <x:c r="A4" s="7" t="s">
        <x:v>131</x:v>
      </x:c>
      <x:c r="B4" s="47"/>
      <x:c r="C4" s="10"/>
      <x:c r="D4" s="10"/>
      <x:c r="E4" s="10"/>
      <x:c r="F4" s="10"/>
      <x:c r="G4" s="10"/>
      <x:c r="H4" s="10"/>
    </x:row>
    <x:row r="5">
      <x:c r="A5" s="6" t="s">
        <x:v>132</x:v>
      </x:c>
      <x:c r="B5" s="62" t="n">
        <x:f>'1_Cost_Job'!B66</x:f>
        <x:v>0.010302083333333335</x:v>
      </x:c>
      <x:c r="C5" s="3" t="s">
        <x:v>113</x:v>
      </x:c>
    </x:row>
    <x:row r="6">
      <x:c r="A6" s="6" t="s">
        <x:v>133</x:v>
      </x:c>
      <x:c r="B6" s="58" t="n">
        <x:v>3</x:v>
      </x:c>
      <x:c r="C6" s="3" t="s">
        <x:v>134</x:v>
      </x:c>
      <x:c r="D6" s="17" t="s">
        <x:v>135</x:v>
      </x:c>
    </x:row>
    <x:row r="7">
      <x:c r="A7" s="12" t="s">
        <x:v>136</x:v>
      </x:c>
      <x:c r="B7" s="55" t="n">
        <x:f>B5*B6</x:f>
        <x:v>0.030906250000000003</x:v>
      </x:c>
      <x:c r="C7" s="3" t="s">
        <x:v>113</x:v>
      </x:c>
    </x:row>
    <x:row r="8">
      <x:c r="B8" s="46"/>
    </x:row>
    <x:row r="9">
      <x:c r="A9" s="7" t="s">
        <x:v>137</x:v>
      </x:c>
      <x:c r="B9" s="47"/>
      <x:c r="C9" s="10"/>
      <x:c r="D9" s="10"/>
      <x:c r="E9" s="10"/>
      <x:c r="F9" s="10"/>
      <x:c r="G9" s="10"/>
      <x:c r="H9" s="10"/>
    </x:row>
    <x:row r="10">
      <x:c r="A10" s="6" t="s">
        <x:v>138</x:v>
      </x:c>
      <x:c r="B10" s="63" t="n">
        <x:f>'1_Cost_Job'!B11*'1_Cost_Job'!B53/60*'1_Cost_Job'!B50</x:f>
        <x:v>13333.333333333332</x:v>
      </x:c>
      <x:c r="D10" s="3" t="s">
        <x:v>139</x:v>
      </x:c>
    </x:row>
    <x:row r="11">
      <x:c r="A11" s="6" t="s">
        <x:v>140</x:v>
      </x:c>
      <x:c r="B11" s="50" t="n">
        <x:f>'1_Cost_Job'!B11</x:f>
        <x:v>80000</x:v>
      </x:c>
      <x:c r="C11" s="3" t="s">
        <x:v>39</x:v>
      </x:c>
    </x:row>
    <x:row r="12">
      <x:c r="A12" s="6" t="s">
        <x:v>141</x:v>
      </x:c>
      <x:c r="B12" s="54" t="n">
        <x:f>IF(B11=0,0,B10*0.1/B11)</x:f>
        <x:v>0.016666666666666666</x:v>
      </x:c>
      <x:c r="C12" s="3" t="s">
        <x:v>113</x:v>
      </x:c>
    </x:row>
    <x:row r="13">
      <x:c r="A13" s="6" t="s">
        <x:v>142</x:v>
      </x:c>
      <x:c r="B13" s="54" t="n">
        <x:f>IF(B11=0,0,B10*0.25/B11)</x:f>
        <x:v>0.041666666666666664</x:v>
      </x:c>
      <x:c r="C13" s="3" t="s">
        <x:v>113</x:v>
      </x:c>
    </x:row>
    <x:row r="14">
      <x:c r="A14" s="6" t="s">
        <x:v>143</x:v>
      </x:c>
      <x:c r="B14" s="63" t="n">
        <x:f>B10</x:f>
        <x:v>13333.333333333332</x:v>
      </x:c>
      <x:c r="D14" s="3" t="s">
        <x:v>144</x:v>
      </x:c>
    </x:row>
    <x:row r="15">
      <x:c r="A15" s="6" t="s">
        <x:v>145</x:v>
      </x:c>
      <x:c r="B15" s="54" t="n">
        <x:f>IF(B11=0,0,B14*0.5/B11)</x:f>
        <x:v>0.08333333333333333</x:v>
      </x:c>
      <x:c r="C15" s="3" t="s">
        <x:v>113</x:v>
      </x:c>
    </x:row>
    <x:row r="16">
      <x:c r="A16" s="6" t="s">
        <x:v>146</x:v>
      </x:c>
      <x:c r="B16" s="54" t="n">
        <x:f>IF(B11=0,0,B14*0.7/B11)</x:f>
        <x:v>0.11666666666666665</x:v>
      </x:c>
      <x:c r="C16" s="3" t="s">
        <x:v>113</x:v>
      </x:c>
    </x:row>
    <x:row r="17">
      <x:c r="B17" s="46"/>
    </x:row>
    <x:row r="18">
      <x:c r="A18" s="7" t="s">
        <x:v>147</x:v>
      </x:c>
      <x:c r="B18" s="47"/>
      <x:c r="C18" s="10"/>
      <x:c r="D18" s="10"/>
      <x:c r="E18" s="10"/>
      <x:c r="F18" s="10"/>
      <x:c r="G18" s="10"/>
      <x:c r="H18" s="10"/>
    </x:row>
    <x:row r="19">
      <x:c r="A19" s="6" t="s">
        <x:v>148</x:v>
      </x:c>
      <x:c r="B19" s="57" t="n">
        <x:v>0.04</x:v>
      </x:c>
      <x:c r="C19" s="3" t="s">
        <x:v>113</x:v>
      </x:c>
      <x:c r="D19" s="3" t="s">
        <x:v>149</x:v>
      </x:c>
    </x:row>
    <x:row r="20">
      <x:c r="A20" s="6" t="s">
        <x:v>150</x:v>
      </x:c>
      <x:c r="B20" s="64" t="n">
        <x:f>IF(B5=0,0,B19/B5)</x:f>
        <x:v>3.8827098078867537</x:v>
      </x:c>
    </x:row>
    <x:row r="21" ht="15.75" customHeight="1">
      <x:c r="A21" s="12" t="s">
        <x:v>151</x:v>
      </x:c>
      <x:c r="B21" s="65" t="n">
        <x:f>IF(B19=0,0,(B19-B5)/B19)</x:f>
        <x:v>0.7424479166666665</x:v>
      </x:c>
    </x:row>
    <x:row r="22" ht="15.75" customHeight="1">
      <x:c r="A22" s="6" t="s">
        <x:v>152</x:v>
      </x:c>
      <x:c r="B22" s="66" t="str">
        <x:f>IF(B20&gt;=B6,"OK — ĐẠT","KHÔNG ĐẠT — quay lại tab 1")</x:f>
        <x:v>OK — ĐẠT</x:v>
      </x:c>
    </x:row>
    <x:row r="23" ht="15.75" customHeight="1">
      <x:c r="A23" s="6" t="s">
        <x:v>153</x:v>
      </x:c>
      <x:c r="B23" s="66" t="str">
        <x:f>IF(B21&gt;=0.6,"OK — AN TOÀN (≥60%)",IF(B21&gt;=0.5,"CẢNH BÁO (50–60%)","NGUY HIỂM (&lt;50%)"))</x:f>
        <x:v>OK — AN TOÀN (≥60%)</x:v>
      </x:c>
    </x:row>
    <x:row r="24" ht="15.75" customHeight="1">
      <x:c r="A24" s="6" t="s">
        <x:v>154</x:v>
      </x:c>
      <x:c r="B24" s="66" t="str">
        <x:f>IF(B21&gt;0.85,"NGHI NGỜ — nhiều khả năng bạn quên một khoản chi phí","OK")</x:f>
        <x:v>OK</x:v>
      </x:c>
    </x:row>
    <x:row r="25" ht="15.75" customHeight="1">
      <x:c r="A25" s="6" t="s">
        <x:v>155</x:v>
      </x:c>
      <x:c r="B25" s="66" t="str">
        <x:f>IF(AND(B19&gt;=B7,B19&lt;=MAX(B13,B16)),"OK — trong vùng giá bán","XEM LẠI — ngoài vùng giá sàn/trần")</x:f>
        <x:v>OK — trong vùng giá bán</x:v>
      </x:c>
    </x:row>
    <x:row r="26" ht="15.75" customHeight="1">
      <x:c r="B26" s="46"/>
    </x:row>
    <x:row r="27" ht="15.75" customHeight="1">
      <x:c r="A27" s="7" t="s">
        <x:v>156</x:v>
      </x:c>
      <x:c r="B27" s="47"/>
      <x:c r="C27" s="10"/>
      <x:c r="D27" s="10"/>
      <x:c r="E27" s="10"/>
      <x:c r="F27" s="10"/>
      <x:c r="G27" s="10"/>
      <x:c r="H27" s="10"/>
    </x:row>
    <x:row r="28" ht="15.75" customHeight="1">
      <x:c r="A28" s="3" t="s">
        <x:v>157</x:v>
      </x:c>
      <x:c r="B28" s="46"/>
    </x:row>
    <x:row r="29" ht="15.75" customHeight="1">
      <x:c r="A29" s="6" t="s">
        <x:v>158</x:v>
      </x:c>
      <x:c r="B29" s="62" t="n">
        <x:f>'1_Cost_Job'!B31+'1_Cost_Job'!B38+'1_Cost_Job'!B43+'1_Cost_Job'!B47</x:f>
        <x:v>0.006575000000000001</x:v>
      </x:c>
    </x:row>
    <x:row r="30" ht="15.75" customHeight="1">
      <x:c r="A30" s="6" t="s">
        <x:v>159</x:v>
      </x:c>
      <x:c r="B30" s="62" t="n">
        <x:f>'1_Cost_Job'!B51*('1_Cost_Job'!B52/60)*'1_Cost_Job'!B50</x:f>
        <x:v>0.0016666666666666666</x:v>
      </x:c>
    </x:row>
    <x:row r="31" ht="15.75" customHeight="1">
      <x:c r="A31" s="6" t="s">
        <x:v>160</x:v>
      </x:c>
      <x:c r="B31" s="62" t="n">
        <x:f>IF('1_Cost_Job'!B6="B",('1_Cost_Job'!B53/60)*'1_Cost_Job'!B50,0)</x:f>
        <x:v>0</x:v>
      </x:c>
    </x:row>
    <x:row r="32" ht="15.75" customHeight="1">
      <x:c r="A32" s="6" t="s">
        <x:v>161</x:v>
      </x:c>
      <x:c r="B32" s="51" t="n">
        <x:v>0.6</x:v>
      </x:c>
    </x:row>
    <x:row r="33" ht="15.75" customHeight="1">
      <x:c r="A33" s="12" t="s">
        <x:v>162</x:v>
      </x:c>
      <x:c r="B33" s="65" t="n">
        <x:f>IF((B19*(1-B32)+B31)=0,0,(B29+B30+B31)/(B19*(1-B32)+B31))</x:f>
        <x:v>0.5151041666666667</x:v>
      </x:c>
      <x:c r="D33" s="3" t="s">
        <x:v>163</x:v>
      </x:c>
    </x:row>
    <x:row r="34" ht="15.75" customHeight="1">
      <x:c r="A34" s="6" t="s">
        <x:v>164</x:v>
      </x:c>
      <x:c r="B34" s="67" t="n">
        <x:f>'1_Cost_Job'!B10</x:f>
        <x:v>0.8</x:v>
      </x:c>
    </x:row>
    <x:row r="35" ht="15.75" customHeight="1">
      <x:c r="A35" s="6" t="s">
        <x:v>165</x:v>
      </x:c>
      <x:c r="B35" s="66" t="str">
        <x:f>IF(B34&gt;=B33,"ĐẠT — mô hình có lãi lành mạnh","CHƯA ĐẠT — phải tăng containment, tăng giá, hoặc đổi biến thể HITL")</x:f>
        <x:v>ĐẠT — mô hình có lãi lành mạnh</x:v>
      </x:c>
    </x:row>
    <x:row r="36" ht="15.75" customHeight="1">
      <x:c r="B36" s="46"/>
    </x:row>
    <x:row r="37" ht="15.75" customHeight="1">
      <x:c r="A37" s="7" t="s">
        <x:v>166</x:v>
      </x:c>
      <x:c r="B37" s="47"/>
      <x:c r="C37" s="10"/>
      <x:c r="D37" s="10"/>
      <x:c r="E37" s="10"/>
      <x:c r="F37" s="10"/>
      <x:c r="G37" s="10"/>
      <x:c r="H37" s="10"/>
    </x:row>
    <x:row r="38" ht="15.75" customHeight="1">
      <x:c r="A38" s="27" t="s">
        <x:v>167</x:v>
      </x:c>
      <x:c r="B38" s="68" t="s">
        <x:v>168</x:v>
      </x:c>
      <x:c r="C38" s="27" t="s">
        <x:v>169</x:v>
      </x:c>
      <x:c r="D38" s="27" t="s">
        <x:v>170</x:v>
      </x:c>
    </x:row>
    <x:row r="39" ht="15.75" customHeight="1">
      <x:c r="A39" s="40">
        <x:v>0.5</x:v>
      </x:c>
      <x:c r="B39" s="54" t="n">
        <x:f t="shared" ref="B39:B44" si="1">($B$29+$B$30+$B$31*(1-A39))/A39</x:f>
        <x:v>0.016483333333333336</x:v>
      </x:c>
      <x:c r="C39" s="28" t="n">
        <x:f t="shared" ref="C39:C44" si="2">IF($B$19=0,0,1-B39/$B$19)</x:f>
        <x:v>0.5879166666666666</x:v>
      </x:c>
      <x:c r="D39" s="8" t="str">
        <x:f t="shared" ref="D39:D44" si="3">IF(C39&gt;=0.6,"An toàn",IF(C39&gt;=0.5,"Cảnh báo","Nguy hiểm"))</x:f>
        <x:v>Cảnh báo</x:v>
      </x:c>
    </x:row>
    <x:row r="40" ht="15.75" customHeight="1">
      <x:c r="A40" s="40">
        <x:v>0.6</x:v>
      </x:c>
      <x:c r="B40" s="54" t="n">
        <x:f t="shared" si="1">($B$29+$B$30+$B$31*(1-A40))/A40</x:f>
        <x:v>0.013736111111111114</x:v>
      </x:c>
      <x:c r="C40" s="28" t="n">
        <x:f t="shared" si="2">IF($B$19=0,0,1-B40/$B$19)</x:f>
        <x:v>0.6565972222222222</x:v>
      </x:c>
      <x:c r="D40" s="8" t="str">
        <x:f t="shared" si="3">IF(C40&gt;=0.6,"An toàn",IF(C40&gt;=0.5,"Cảnh báo","Nguy hiểm"))</x:f>
        <x:v>An toàn</x:v>
      </x:c>
    </x:row>
    <x:row r="41" ht="15.75" customHeight="1">
      <x:c r="A41" s="40">
        <x:v>0.7</x:v>
      </x:c>
      <x:c r="B41" s="54" t="n">
        <x:f t="shared" si="1">($B$29+$B$30+$B$31*(1-A41))/A41</x:f>
        <x:v>0.011773809523809527</x:v>
      </x:c>
      <x:c r="C41" s="28" t="n">
        <x:f t="shared" si="2">IF($B$19=0,0,1-B41/$B$19)</x:f>
        <x:v>0.7056547619047618</x:v>
      </x:c>
      <x:c r="D41" s="8" t="str">
        <x:f t="shared" si="3">IF(C41&gt;=0.6,"An toàn",IF(C41&gt;=0.5,"Cảnh báo","Nguy hiểm"))</x:f>
        <x:v>An toàn</x:v>
      </x:c>
    </x:row>
    <x:row r="42" ht="15.75" customHeight="1">
      <x:c r="A42" s="40">
        <x:v>0.8</x:v>
      </x:c>
      <x:c r="B42" s="54" t="n">
        <x:f t="shared" si="1">($B$29+$B$30+$B$31*(1-A42))/A42</x:f>
        <x:v>0.010302083333333335</x:v>
      </x:c>
      <x:c r="C42" s="28" t="n">
        <x:f t="shared" si="2">IF($B$19=0,0,1-B42/$B$19)</x:f>
        <x:v>0.7424479166666667</x:v>
      </x:c>
      <x:c r="D42" s="8" t="str">
        <x:f t="shared" si="3">IF(C42&gt;=0.6,"An toàn",IF(C42&gt;=0.5,"Cảnh báo","Nguy hiểm"))</x:f>
        <x:v>An toàn</x:v>
      </x:c>
    </x:row>
    <x:row r="43" ht="15.75" customHeight="1">
      <x:c r="A43" s="40">
        <x:v>0.9</x:v>
      </x:c>
      <x:c r="B43" s="54" t="n">
        <x:f t="shared" si="1">($B$29+$B$30+$B$31*(1-A43))/A43</x:f>
        <x:v>0.00915740740740741</x:v>
      </x:c>
      <x:c r="C43" s="28" t="n">
        <x:f t="shared" si="2">IF($B$19=0,0,1-B43/$B$19)</x:f>
        <x:v>0.7710648148148148</x:v>
      </x:c>
      <x:c r="D43" s="8" t="str">
        <x:f t="shared" si="3">IF(C43&gt;=0.6,"An toàn",IF(C43&gt;=0.5,"Cảnh báo","Nguy hiểm"))</x:f>
        <x:v>An toàn</x:v>
      </x:c>
    </x:row>
    <x:row r="44" ht="15.75" customHeight="1">
      <x:c r="A44" s="40">
        <x:v>0.95</x:v>
      </x:c>
      <x:c r="B44" s="54" t="n">
        <x:f t="shared" si="1">($B$29+$B$30+$B$31*(1-A44))/A44</x:f>
        <x:v>0.00867543859649123</x:v>
      </x:c>
      <x:c r="C44" s="28" t="n">
        <x:f t="shared" si="2">IF($B$19=0,0,1-B44/$B$19)</x:f>
        <x:v>0.7831140350877193</x:v>
      </x:c>
      <x:c r="D44" s="8" t="str">
        <x:f t="shared" si="3">IF(C44&gt;=0.6,"An toàn",IF(C44&gt;=0.5,"Cảnh báo","Nguy hiểm"))</x:f>
        <x:v>An toàn</x:v>
      </x:c>
    </x:row>
    <x:row r="45" ht="15.75" customHeight="1">
      <x:c r="B45" s="46"/>
    </x:row>
    <x:row r="46" ht="15.75" customHeight="1">
      <x:c r="A46" s="3" t="s">
        <x:v>171</x:v>
      </x:c>
      <x:c r="B46" s="46"/>
    </x:row>
    <x:row r="47" ht="15.75" customHeight="1">
      <x:c r="B47" s="46"/>
    </x:row>
    <x:row r="48" ht="15.75" customHeight="1">
      <x:c r="A48" s="7" t="s">
        <x:v>172</x:v>
      </x:c>
      <x:c r="B48" s="47"/>
      <x:c r="C48" s="10"/>
      <x:c r="D48" s="10"/>
      <x:c r="E48" s="10"/>
      <x:c r="F48" s="10"/>
      <x:c r="G48" s="10"/>
      <x:c r="H48" s="10"/>
    </x:row>
    <x:row r="49" ht="15.75" customHeight="1">
      <x:c r="A49" s="12" t="s">
        <x:v>168</x:v>
      </x:c>
      <x:c r="B49" s="55" t="n">
        <x:f>B5</x:f>
        <x:v>0.010302083333333335</x:v>
      </x:c>
    </x:row>
    <x:row r="50" ht="15.75" customHeight="1">
      <x:c r="A50" s="12" t="s">
        <x:v>173</x:v>
      </x:c>
      <x:c r="B50" s="55" t="n">
        <x:f>B7</x:f>
        <x:v>0.030906250000000003</x:v>
      </x:c>
    </x:row>
    <x:row r="51" ht="15.75" customHeight="1">
      <x:c r="A51" s="12" t="s">
        <x:v>174</x:v>
      </x:c>
      <x:c r="B51" s="55" t="n">
        <x:f>B19</x:f>
        <x:v>0.04</x:v>
      </x:c>
    </x:row>
    <x:row r="52" ht="15.75" customHeight="1">
      <x:c r="A52" s="12" t="s">
        <x:v>169</x:v>
      </x:c>
      <x:c r="B52" s="65" t="n">
        <x:f>B21</x:f>
        <x:v>0.7424479166666665</x:v>
      </x:c>
    </x:row>
    <x:row r="53" ht="15.75" customHeight="1">
      <x:c r="A53" s="12" t="s">
        <x:v>175</x:v>
      </x:c>
      <x:c r="B53" s="65" t="n">
        <x:f>B33</x:f>
        <x:v>0.5151041666666667</x:v>
      </x:c>
    </x:row>
    <x:row r="54" ht="15.75" customHeight="1">
      <x:c r="B54" s="46"/>
    </x:row>
    <x:row r="55" ht="34" customHeight="1">
      <x:c r="A55" s="83" t="str">
        <x:v>DỰ TOÁN HYBRID SAU PILOT (USD / khách / tháng)</x:v>
      </x:c>
      <x:c r="B55" s="83"/>
      <x:c r="C55" s="83"/>
      <x:c r="D55" s="83"/>
    </x:row>
    <x:row r="56" ht="34" customHeight="1">
      <x:c r="A56" s="83" t="str">
        <x:v>Phí nền / tháng</x:v>
      </x:c>
      <x:c r="B56" s="91" t="n">
        <x:v>1000</x:v>
      </x:c>
      <x:c r="C56" s="83"/>
      <x:c r="D56" s="83"/>
    </x:row>
    <x:row r="57" ht="34" customHeight="1">
      <x:c r="A57" s="83" t="str">
        <x:v>Clean AI-resolved pairs sau14d</x:v>
      </x:c>
      <x:c r="B57" s="85" t="n">
        <x:f>'1_Cost_Job'!B11</x:f>
        <x:v>80000</x:v>
      </x:c>
      <x:c r="C57" s="83"/>
      <x:c r="D57" s="83"/>
    </x:row>
    <x:row r="58" ht="34" customHeight="1">
      <x:c r="A58" s="83" t="str">
        <x:v>Doanh thu usage</x:v>
      </x:c>
      <x:c r="B58" s="84" t="n">
        <x:f>B19*B57</x:f>
        <x:v>3200</x:v>
      </x:c>
      <x:c r="C58" s="83"/>
      <x:c r="D58" s="83"/>
    </x:row>
    <x:row r="59" ht="34" customHeight="1">
      <x:c r="A59" s="83" t="str">
        <x:v>Doanh thu Hybrid</x:v>
      </x:c>
      <x:c r="B59" s="84" t="n">
        <x:f>B56+B58</x:f>
        <x:v>4200</x:v>
      </x:c>
      <x:c r="C59" s="83"/>
      <x:c r="D59" s="83"/>
    </x:row>
    <x:row r="60" ht="34" customHeight="1">
      <x:c r="A60" s="83" t="str">
        <x:v>COGS</x:v>
      </x:c>
      <x:c r="B60" s="84" t="n">
        <x:f>'1_Cost_Job'!B62+'1_Cost_Job'!B63</x:f>
        <x:v>824.1666666666667</x:v>
      </x:c>
      <x:c r="C60" s="83"/>
      <x:c r="D60" s="83"/>
    </x:row>
    <x:row r="61" ht="34" customHeight="1">
      <x:c r="A61" s="83" t="str">
        <x:v>GM Hybrid</x:v>
      </x:c>
      <x:c r="B61" s="90" t="n">
        <x:f>IF(B59&gt;0,1-B60/B59,"Không có doanh thu")</x:f>
        <x:v>0.8037698412698413</x:v>
      </x:c>
      <x:c r="C61" s="83"/>
      <x:c r="D61" s="83"/>
    </x:row>
    <x:row r="62" ht="34" customHeight="1">
      <x:c r="A62" s="83" t="str">
        <x:v>Còn lại sau overhead</x:v>
      </x:c>
      <x:c r="B62" s="84" t="n">
        <x:f>B59-B60-'1_Cost_Job'!B59</x:f>
        <x:v>375.83333333333303</x:v>
      </x:c>
      <x:c r="C62" s="83"/>
      <x:c r="D62" s="83"/>
    </x:row>
    <x:row r="63" ht="34" customHeight="1">
      <x:c r="A63" s="83" t="str">
        <x:v>R hòa vốn usage (GM=0)</x:v>
      </x:c>
      <x:c r="B63" s="90" t="n">
        <x:f>(B29+B30+B31)/(B19+B31)</x:f>
        <x:v>0.2060416666666667</x:v>
      </x:c>
      <x:c r="C63" s="83"/>
      <x:c r="D63" s="83"/>
    </x:row>
    <x:row r="64" ht="34" customHeight="1">
      <x:c r="A64" s="83" t="str">
        <x:v>R tối thiểu cho usage GM50%</x:v>
      </x:c>
      <x:c r="B64" s="90" t="n">
        <x:f>(B29+B30+B31)/(B19*0.5+B31)</x:f>
        <x:v>0.4120833333333334</x:v>
      </x:c>
      <x:c r="C64" s="83"/>
      <x:c r="D64" s="83"/>
    </x:row>
    <x:row r="65" ht="34" customHeight="1">
      <x:c r="A65" s="83" t="str">
        <x:v>CAC payback Hybrid (tháng)</x:v>
      </x:c>
      <x:c r="B65" s="86" t="n">
        <x:f>IF(B59&gt;B60,'4_Channel_Fit'!B22/(B59-B60),"Không thu hồi CAC")</x:f>
        <x:v>9.479140952851148</x:v>
      </x:c>
      <x:c r="C65" s="83"/>
      <x:c r="D65" s="83"/>
    </x:row>
    <x:row r="66" ht="34" customHeight="1">
      <x:c r="A66" s="83" t="str">
        <x:v>CPO cap theo CAC template</x:v>
      </x:c>
      <x:c r="B66" s="84" t="n">
        <x:f>'4_Channel_Fit'!B9*'4_Channel_Fit'!B21</x:f>
        <x:v>18709.687499999996</x:v>
      </x:c>
      <x:c r="C66" s="83"/>
      <x:c r="D66" s="83"/>
    </x:row>
    <x:row r="67" ht="34" customHeight="1">
      <x:c r="A67" s="83" t="str">
        <x:v>Win tối thiểu theo CAC template</x:v>
      </x:c>
      <x:c r="B67" s="90" t="n">
        <x:f>'4_Channel_Fit'!B20/'4_Channel_Fit'!B9</x:f>
        <x:v>0.10689649412904413</x:v>
      </x:c>
      <x:c r="C67" s="83"/>
      <x:c r="D67" s="83"/>
    </x:row>
    <x:row r="68" ht="34" customHeight="1">
      <x:c r="A68" s="83" t="str">
        <x:v>R hòa vốn Hybrid sau overhead</x:v>
      </x:c>
      <x:c r="B68" s="90" t="n">
        <x:f>MAX(0,(B29+B30+B31+('1_Cost_Job'!B59-B56)/'1_Cost_Job'!B9)/(B19+B31))</x:f>
        <x:v>0.7060416666666667</x:v>
      </x:c>
      <x:c r="C68" s="83"/>
      <x:c r="D68" s="83"/>
    </x:row>
    <x:row r="69" ht="34" customHeight="1">
      <x:c r="A69" s="83" t="str">
        <x:v>Cost/job khi API tăng2x (A/B)</x:v>
      </x:c>
      <x:c r="B69" s="88" t="n">
        <x:f>IF('1_Cost_Job'!B10&gt;0,(B29+'1_Cost_Job'!B31+'1_Cost_Job'!B47+B30+B31*(1-'1_Cost_Job'!B10))/'1_Cost_Job'!B10,"Chưa có completed job")</x:f>
        <x:v>0.012270833333333335</x:v>
      </x:c>
      <x:c r="C69" s="83"/>
      <x:c r="D69" s="83"/>
    </x:row>
    <x:row r="70" ht="34" customHeight="1">
      <x:c r="A70" s="83" t="str">
        <x:v>Usage GM khi API tăng2x</x:v>
      </x:c>
      <x:c r="B70" s="90" t="n">
        <x:f>IF(ISNUMBER(B69),1-B69/B19,"Chưa có completed job")</x:f>
        <x:v>0.6932291666666666</x:v>
      </x:c>
      <x:c r="C70" s="83"/>
      <x:c r="D70" s="83"/>
    </x:row>
    <x:row r="71" ht="34" customHeight="1">
      <x:c r="A71" s="83" t="str">
        <x:v>Cap hóa đơn / tháng</x:v>
      </x:c>
      <x:c r="B71" s="91" t="n">
        <x:v>5000</x:v>
      </x:c>
      <x:c r="C71" s="83"/>
      <x:c r="D71" s="83"/>
    </x:row>
    <x:row r="72" ht="34" customHeight="1">
      <x:c r="A72" s="83" t="str">
        <x:v>Mục tiêu payback nội bộ (tháng)</x:v>
      </x:c>
      <x:c r="B72" s="92" t="n">
        <x:v>12</x:v>
      </x:c>
      <x:c r="C72" s="83"/>
      <x:c r="D72" s="83"/>
    </x:row>
    <x:row r="73" ht="34" customHeight="1">
      <x:c r="A73" s="83" t="str">
        <x:v>CAC cap nội bộ (GM Hybrid)</x:v>
      </x:c>
      <x:c r="B73" s="84" t="n">
        <x:f>(B59-B60)*B72</x:f>
        <x:v>40510</x:v>
      </x:c>
      <x:c r="C73" s="83"/>
      <x:c r="D73" s="83"/>
    </x:row>
    <x:row r="74" ht="34" customHeight="1">
      <x:c r="A74" s="83" t="str">
        <x:v>CPO cap nội bộ theo win</x:v>
      </x:c>
      <x:c r="B74" s="84" t="n">
        <x:f>B73*'4_Channel_Fit'!B21</x:f>
        <x:v>10127.5</x:v>
      </x:c>
      <x:c r="C74" s="83"/>
      <x:c r="D74" s="83"/>
    </x:row>
    <x:row r="75" ht="34" customHeight="1">
      <x:c r="A75" s="83" t="str">
        <x:v>Giá hiệu dụng Hybrid / clean job</x:v>
      </x:c>
      <x:c r="B75" s="89" t="n">
        <x:f>IF(B57&gt;0,B59/B57,"Chưa có completed job")</x:f>
        <x:v>0.0525</x:v>
      </x:c>
      <x:c r="C75" s="83"/>
      <x:c r="D75" s="83"/>
    </x:row>
    <x:row r="76" ht="34" customHeight="1">
      <x:c r="A76" s="83" t="str">
        <x:v>Hybrid / giá trị thời gian</x:v>
      </x:c>
      <x:c r="B76" s="90" t="n">
        <x:f>IF(B10&gt;0,B59/B10,"Chưa đo giá trị")</x:f>
        <x:v>0.315</x:v>
      </x:c>
      <x:c r="C76" s="83"/>
      <x:c r="D76" s="83"/>
    </x:row>
    <x:row r="77" ht="85" customHeight="1">
      <x:c r="A77" s="83" t="str">
        <x:v>Độ trễ hóa đơn</x:v>
      </x:c>
      <x:c r="B77" s="83" t="str">
        <x:v>14 ngày quality window; tháng steady state. Tháng đầu dời usage tới khi cohort đủ tuổi.</x:v>
      </x:c>
      <x:c r="C77" s="83"/>
      <x:c r="D77" s="83"/>
    </x:row>
    <x:row r="78" ht="85" customHeight="1">
      <x:c r="A78" s="83" t="str">
        <x:v>Phạm vi kịch bản</x:v>
      </x:c>
      <x:c r="B78" s="83" t="str">
        <x:v>100k attempts gồm ngoài vùng xám; R80% chưa thực đo. Chỉ billing clean auto-pair; ca Steward không usage.</x:v>
      </x:c>
      <x:c r="C78" s="83"/>
      <x:c r="D78" s="83"/>
    </x:row>
    <x:row r="79" ht="15.75" customHeight="1">
      <x:c r="B79" s="46"/>
    </x:row>
    <x:row r="80" ht="15.75" customHeight="1">
      <x:c r="B80" s="46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72" customWidth="1"/>
    <x:col min="2" max="2" width="55" hidden="0" customWidth="1"/>
    <x:col min="3" max="3" width="50" customWidth="1"/>
    <x:col min="4" max="4" width="46" customWidth="1"/>
    <x:col min="5" max="8" width="15" customWidth="1"/>
    <x:col min="9" max="26" width="8.710000038146973" customWidth="1"/>
  </x:cols>
  <x:sheetData>
    <x:row r="1" ht="24" customHeight="1">
      <x:c r="A1" s="1" t="s">
        <x:v>176</x:v>
      </x:c>
      <x:c r="B1" s="45"/>
      <x:c r="C1" s="2"/>
      <x:c r="D1" s="2"/>
      <x:c r="E1" s="2"/>
      <x:c r="F1" s="2"/>
      <x:c r="G1" s="2"/>
      <x:c r="H1" s="2"/>
    </x:row>
    <x:row r="2">
      <x:c r="A2" s="3" t="s">
        <x:v>177</x:v>
      </x:c>
      <x:c r="B2" s="46"/>
    </x:row>
    <x:row r="3">
      <x:c r="B3" s="46"/>
    </x:row>
    <x:row r="4">
      <x:c r="A4" s="7" t="s">
        <x:v>178</x:v>
      </x:c>
      <x:c r="B4" s="47"/>
      <x:c r="C4" s="10"/>
      <x:c r="D4" s="10"/>
      <x:c r="E4" s="10"/>
      <x:c r="F4" s="10"/>
      <x:c r="G4" s="10"/>
      <x:c r="H4" s="10"/>
    </x:row>
    <x:row r="5">
      <x:c r="A5" s="6" t="s">
        <x:v>179</x:v>
      </x:c>
      <x:c r="B5" s="49" t="n">
        <x:v>0</x:v>
      </x:c>
    </x:row>
    <x:row r="6">
      <x:c r="A6" s="14" t="s">
        <x:v>180</x:v>
      </x:c>
      <x:c r="B6" s="49" t="n">
        <x:v>0</x:v>
      </x:c>
    </x:row>
    <x:row r="7">
      <x:c r="A7" s="6" t="s">
        <x:v>181</x:v>
      </x:c>
      <x:c r="B7" s="49" t="n">
        <x:v>0</x:v>
      </x:c>
    </x:row>
    <x:row r="8">
      <x:c r="A8" s="6" t="s">
        <x:v>182</x:v>
      </x:c>
      <x:c r="B8" s="49" t="n">
        <x:v>0</x:v>
      </x:c>
    </x:row>
    <x:row r="9">
      <x:c r="A9" s="6" t="s">
        <x:v>183</x:v>
      </x:c>
      <x:c r="B9" s="49" t="n">
        <x:v>2</x:v>
      </x:c>
    </x:row>
    <x:row r="10">
      <x:c r="A10" s="12" t="s">
        <x:v>184</x:v>
      </x:c>
      <x:c r="B10" s="69" t="n">
        <x:f>SUM(B5:B9)</x:f>
        <x:v>2</x:v>
      </x:c>
    </x:row>
    <x:row r="11">
      <x:c r="B11" s="46"/>
    </x:row>
    <x:row r="12">
      <x:c r="A12" s="7" t="s">
        <x:v>185</x:v>
      </x:c>
      <x:c r="B12" s="47"/>
      <x:c r="C12" s="10"/>
      <x:c r="D12" s="10"/>
      <x:c r="E12" s="10"/>
      <x:c r="F12" s="10"/>
      <x:c r="G12" s="10"/>
      <x:c r="H12" s="10"/>
    </x:row>
    <x:row r="13">
      <x:c r="A13" s="6" t="s">
        <x:v>186</x:v>
      </x:c>
      <x:c r="B13" s="49" t="n">
        <x:v>0</x:v>
      </x:c>
    </x:row>
    <x:row r="14">
      <x:c r="A14" s="6" t="s">
        <x:v>187</x:v>
      </x:c>
      <x:c r="B14" s="49" t="n">
        <x:v>0</x:v>
      </x:c>
    </x:row>
    <x:row r="15">
      <x:c r="A15" s="6" t="s">
        <x:v>188</x:v>
      </x:c>
      <x:c r="B15" s="49" t="n">
        <x:v>0</x:v>
      </x:c>
    </x:row>
    <x:row r="16">
      <x:c r="A16" s="6" t="s">
        <x:v>189</x:v>
      </x:c>
      <x:c r="B16" s="49" t="n">
        <x:v>0</x:v>
      </x:c>
    </x:row>
    <x:row r="17">
      <x:c r="A17" s="6" t="s">
        <x:v>190</x:v>
      </x:c>
      <x:c r="B17" s="49" t="n">
        <x:v>0</x:v>
      </x:c>
    </x:row>
    <x:row r="18">
      <x:c r="A18" s="12" t="s">
        <x:v>191</x:v>
      </x:c>
      <x:c r="B18" s="69" t="n">
        <x:f>SUM(B13:B17)</x:f>
        <x:v>0</x:v>
      </x:c>
    </x:row>
    <x:row r="19">
      <x:c r="B19" s="46"/>
    </x:row>
    <x:row r="20">
      <x:c r="A20" s="7" t="s">
        <x:v>192</x:v>
      </x:c>
      <x:c r="B20" s="47"/>
      <x:c r="C20" s="10"/>
      <x:c r="D20" s="10"/>
      <x:c r="E20" s="10"/>
      <x:c r="F20" s="10"/>
      <x:c r="G20" s="10"/>
      <x:c r="H20" s="10"/>
    </x:row>
    <x:row r="21" ht="15.75" customHeight="1">
      <x:c r="A21" s="12" t="s">
        <x:v>193</x:v>
      </x:c>
      <x:c r="B21" s="70" t="str">
        <x:f>IF(AND(B10&gt;=7,B18&gt;=7),"OUTCOME",IF(AND(B10&gt;=7,B18&lt;7),"USAGE",IF(AND(B10&lt;7,B18&gt;=7),"USAGE (an toàn)","SEAT hoặc HYBRID")))</x:f>
        <x:v>SEAT hoặc HYBRID</x:v>
      </x:c>
    </x:row>
    <x:row r="22" ht="15.75" customHeight="1">
      <x:c r="A22" s="3" t="s">
        <x:v>194</x:v>
      </x:c>
      <x:c r="B22" s="46"/>
    </x:row>
    <x:row r="23" ht="15.75" customHeight="1">
      <x:c r="B23" s="46"/>
    </x:row>
    <x:row r="24" ht="15.75" customHeight="1">
      <x:c r="A24" s="7" t="s">
        <x:v>195</x:v>
      </x:c>
      <x:c r="B24" s="47"/>
      <x:c r="C24" s="10"/>
      <x:c r="D24" s="10"/>
      <x:c r="E24" s="10"/>
      <x:c r="F24" s="10"/>
      <x:c r="G24" s="10"/>
      <x:c r="H24" s="10"/>
    </x:row>
    <x:row r="25" ht="15.75" customHeight="1">
      <x:c r="A25" s="27" t="s">
        <x:v>196</x:v>
      </x:c>
      <x:c r="B25" s="68" t="s">
        <x:v>197</x:v>
      </x:c>
      <x:c r="C25" s="27" t="s">
        <x:v>198</x:v>
      </x:c>
      <x:c r="D25" s="27" t="s">
        <x:v>199</x:v>
      </x:c>
    </x:row>
    <x:row r="26" ht="60" customHeight="1">
      <x:c r="A26" s="75" t="str">
        <x:v>Tamr</x:v>
      </x:c>
      <x:c r="B26" s="75" t="str">
        <x:v>Subscription + golden-record volume</x:v>
      </x:c>
      <x:c r="C26" s="75" t="str">
        <x:v>Không công bố đơn giá; liên hệ báo giá</x:v>
      </x:c>
      <x:c r="D26" s="75" t="str">
        <x:v>https://www.tamr.com/pricing</x:v>
      </x:c>
    </x:row>
    <x:row r="27" ht="60" customHeight="1">
      <x:c r="A27" s="75" t="str">
        <x:v>AWS Entity Resolution</x:v>
      </x:c>
      <x:c r="B27" s="75" t="str">
        <x:v>Usage / input records processed</x:v>
      </x:c>
      <x:c r="C27" s="75" t="str">
        <x:v>$0.25 / 1,000 records (rule/ML)</x:v>
      </x:c>
      <x:c r="D27" s="75" t="str">
        <x:v>https://aws.amazon.com/entity-resolution/pricing/</x:v>
      </x:c>
    </x:row>
    <x:row r="28" ht="15.75" customHeight="1">
      <x:c r="B28" s="46"/>
    </x:row>
    <x:row r="29" ht="15.75" customHeight="1">
      <x:c r="A29" s="7" t="s">
        <x:v>200</x:v>
      </x:c>
      <x:c r="B29" s="47"/>
      <x:c r="C29" s="10"/>
      <x:c r="D29" s="10"/>
      <x:c r="E29" s="10"/>
      <x:c r="F29" s="10"/>
      <x:c r="G29" s="10"/>
      <x:c r="H29" s="10"/>
    </x:row>
    <x:row r="30" ht="95" customHeight="1">
      <x:c r="A30" s="6" t="s">
        <x:v>201</x:v>
      </x:c>
      <x:c r="B30" s="75" t="str">
        <x:v>Hybrid</x:v>
      </x:c>
    </x:row>
    <x:row r="31" ht="95" customHeight="1">
      <x:c r="A31" s="6" t="s">
        <x:v>202</x:v>
      </x:c>
      <x:c r="B31" s="75" t="str">
        <x:v>Khớp gợi ý SEAT/HYBRID. Phí nền nuôi pipeline và audit. Pilot phí cố định theo phạm vi; usage chỉ sau kiểm chứng.</x:v>
      </x:c>
    </x:row>
    <x:row r="32" ht="95" customHeight="1">
      <x:c r="A32" s="6" t="s">
        <x:v>203</x:v>
      </x:c>
      <x:c r="B32" s="75" t="str">
        <x:v>Dự toán sau pilot: $1,000/tháng gồm 5 seats + $0.04/AI-resolved pair từ pair đầu tiên, zero free quota; cap $5,000 phải duyệt trước xử lý vượt.</x:v>
      </x:c>
    </x:row>
    <x:row r="33" ht="95" customHeight="1">
      <x:c r="A33" s="6" t="s">
        <x:v>204</x:v>
      </x:c>
      <x:c r="B33" s="75" t="str">
        <x:v>Attribution 2/10, Autonomy 0/10 theo bằng chứng cung cấp: chỉ có thiết kế metrics, chưa log/eval. Vùng xám vẫn do Steward duyệt; R80% ở Tab1 là giả định tương lai.</x:v>
      </x:c>
    </x:row>
    <x:row r="34" ht="95" customHeight="1">
      <x:c r="A34" s="6" t="s">
        <x:v>205</x:v>
      </x:c>
      <x:c r="B34" s="75" t="str">
        <x:v>Usage GM&lt;50% khi R&lt;41.21% (A). Hòa vốn sau overhead cần R≥70.60% ở100k attempts. Không billing retry/rollback/ca Steward; chưa bán Outcome.</x:v>
      </x:c>
    </x:row>
    <x:row r="35" ht="15.75" customHeight="1">
      <x:c r="B35" s="46"/>
    </x:row>
    <x:row r="36" ht="15.75" customHeight="1">
      <x:c r="B36" s="46"/>
    </x:row>
    <x:row r="37" ht="15.75" customHeight="1">
      <x:c r="B37" s="46"/>
    </x:row>
    <x:row r="38" ht="15.75" customHeight="1">
      <x:c r="B38" s="46"/>
    </x:row>
    <x:row r="39" ht="15.75" customHeight="1">
      <x:c r="B39" s="46"/>
    </x:row>
    <x:row r="40" ht="15.75" customHeight="1">
      <x:c r="B40" s="46"/>
    </x:row>
    <x:row r="41" ht="15.75" customHeight="1">
      <x:c r="B41" s="46"/>
    </x:row>
    <x:row r="42" ht="15.75" customHeight="1">
      <x:c r="B42" s="46"/>
    </x:row>
    <x:row r="43" ht="15.75" customHeight="1">
      <x:c r="B43" s="46"/>
    </x:row>
    <x:row r="44" ht="15.75" customHeight="1">
      <x:c r="B44" s="46"/>
    </x:row>
    <x:row r="45" ht="15.75" customHeight="1">
      <x:c r="B45" s="46"/>
    </x:row>
    <x:row r="46" ht="15.75" customHeight="1">
      <x:c r="B46" s="46"/>
    </x:row>
    <x:row r="47" ht="15.75" customHeight="1">
      <x:c r="B47" s="46"/>
    </x:row>
    <x:row r="48" ht="15.75" customHeight="1">
      <x:c r="B48" s="46"/>
    </x:row>
    <x:row r="49" ht="15.75" customHeight="1">
      <x:c r="B49" s="46"/>
    </x:row>
    <x:row r="50" ht="15.75" customHeight="1">
      <x:c r="B50" s="46"/>
    </x:row>
    <x:row r="51" ht="15.75" customHeight="1">
      <x:c r="B51" s="46"/>
    </x:row>
    <x:row r="52" ht="15.75" customHeight="1">
      <x:c r="B52" s="46"/>
    </x:row>
    <x:row r="53" ht="15.75" customHeight="1">
      <x:c r="B53" s="46"/>
    </x:row>
    <x:row r="54" ht="15.75" customHeight="1">
      <x:c r="B54" s="46"/>
    </x:row>
    <x:row r="55" ht="15.75" customHeight="1">
      <x:c r="B55" s="46"/>
    </x:row>
    <x:row r="56" ht="15.75" customHeight="1">
      <x:c r="B56" s="46"/>
    </x:row>
    <x:row r="57" ht="15.75" customHeight="1">
      <x:c r="B57" s="46"/>
    </x:row>
    <x:row r="58" ht="15.75" customHeight="1">
      <x:c r="B58" s="46"/>
    </x:row>
    <x:row r="59" ht="15.75" customHeight="1">
      <x:c r="B59" s="46"/>
    </x:row>
    <x:row r="60" ht="15.75" customHeight="1">
      <x:c r="B60" s="46"/>
    </x:row>
    <x:row r="61" ht="15.75" customHeight="1">
      <x:c r="B61" s="46"/>
    </x:row>
    <x:row r="62" ht="15.75" customHeight="1">
      <x:c r="B62" s="46"/>
    </x:row>
    <x:row r="63" ht="15.75" customHeight="1">
      <x:c r="B63" s="46"/>
    </x:row>
    <x:row r="64" ht="15.75" customHeight="1">
      <x:c r="B64" s="46"/>
    </x:row>
    <x:row r="65" ht="15.75" customHeight="1">
      <x:c r="B65" s="46"/>
    </x:row>
    <x:row r="66" ht="15.75" customHeight="1">
      <x:c r="B66" s="46"/>
    </x:row>
    <x:row r="67" ht="15.75" customHeight="1">
      <x:c r="B67" s="46"/>
    </x:row>
    <x:row r="68" ht="15.75" customHeight="1">
      <x:c r="B68" s="46"/>
    </x:row>
    <x:row r="69" ht="15.75" customHeight="1">
      <x:c r="B69" s="46"/>
    </x:row>
    <x:row r="70" ht="15.75" customHeight="1">
      <x:c r="B70" s="46"/>
    </x:row>
    <x:row r="71" ht="15.75" customHeight="1">
      <x:c r="B71" s="46"/>
    </x:row>
    <x:row r="72" ht="15.75" customHeight="1">
      <x:c r="B72" s="46"/>
    </x:row>
    <x:row r="73" ht="15.75" customHeight="1">
      <x:c r="B73" s="46"/>
    </x:row>
    <x:row r="74" ht="15.75" customHeight="1">
      <x:c r="B74" s="46"/>
    </x:row>
    <x:row r="75" ht="15.75" customHeight="1">
      <x:c r="B75" s="46"/>
    </x:row>
    <x:row r="76" ht="15.75" customHeight="1">
      <x:c r="B76" s="46"/>
    </x:row>
    <x:row r="77" ht="15.75" customHeight="1">
      <x:c r="B77" s="46"/>
    </x:row>
    <x:row r="78" ht="15.75" customHeight="1">
      <x:c r="B78" s="46"/>
    </x:row>
    <x:row r="79" ht="15.75" customHeight="1">
      <x:c r="B79" s="46"/>
    </x:row>
    <x:row r="80" ht="15.75" customHeight="1">
      <x:c r="B80" s="46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46" customWidth="1"/>
    <x:col min="2" max="3" width="16" customWidth="1"/>
    <x:col min="4" max="4" width="54" customWidth="1"/>
    <x:col min="5" max="8" width="15" customWidth="1"/>
    <x:col min="9" max="26" width="8.710000038146973" customWidth="1"/>
    <x:col min="2" max="2" width="55" hidden="0" customWidth="1"/>
  </x:cols>
  <x:sheetData>
    <x:row r="1" ht="24" customHeight="1">
      <x:c r="A1" s="1" t="s">
        <x:v>206</x:v>
      </x:c>
      <x:c r="B1" s="45"/>
      <x:c r="C1" s="2"/>
      <x:c r="D1" s="2"/>
      <x:c r="E1" s="2"/>
      <x:c r="F1" s="2"/>
      <x:c r="G1" s="2"/>
      <x:c r="H1" s="2"/>
    </x:row>
    <x:row r="2">
      <x:c r="A2" s="3" t="s">
        <x:v>207</x:v>
      </x:c>
      <x:c r="B2" s="46"/>
    </x:row>
    <x:row r="3">
      <x:c r="B3" s="46"/>
    </x:row>
    <x:row r="4">
      <x:c r="A4" s="7" t="s">
        <x:v>208</x:v>
      </x:c>
      <x:c r="B4" s="47"/>
      <x:c r="C4" s="10"/>
      <x:c r="D4" s="10"/>
      <x:c r="E4" s="10"/>
      <x:c r="F4" s="10"/>
      <x:c r="G4" s="10"/>
      <x:c r="H4" s="10"/>
    </x:row>
    <x:row r="5">
      <x:c r="A5" s="6" t="s">
        <x:v>209</x:v>
      </x:c>
      <x:c r="B5" s="63" t="n">
        <x:f>'2_Pricing'!B59</x:f>
        <x:v>4200</x:v>
      </x:c>
    </x:row>
    <x:row r="6">
      <x:c r="A6" s="6" t="s">
        <x:v>210</x:v>
      </x:c>
      <x:c r="B6" s="67" t="n">
        <x:f>'2_Pricing'!B21</x:f>
        <x:v>0.7424479166666665</x:v>
      </x:c>
    </x:row>
    <x:row r="7">
      <x:c r="A7" s="6" t="s">
        <x:v>211</x:v>
      </x:c>
      <x:c r="B7" s="49" t="str">
        <x:v>Enterprise</x:v>
      </x:c>
    </x:row>
    <x:row r="8">
      <x:c r="A8" s="6" t="s">
        <x:v>212</x:v>
      </x:c>
      <x:c r="B8" s="52" t="n">
        <x:f>IF(B7="SMB",12,IF(B7="Mid",18,24))</x:f>
        <x:v>24</x:v>
      </x:c>
      <x:c r="C8" s="3" t="s">
        <x:v>213</x:v>
      </x:c>
      <x:c r="D8" s="3" t="s">
        <x:v>214</x:v>
      </x:c>
    </x:row>
    <x:row r="9">
      <x:c r="A9" s="12" t="s">
        <x:v>215</x:v>
      </x:c>
      <x:c r="B9" s="71" t="n">
        <x:f>B5*B6*B8</x:f>
        <x:v>74838.74999999999</x:v>
      </x:c>
      <x:c r="D9" s="3" t="s">
        <x:v>216</x:v>
      </x:c>
    </x:row>
    <x:row r="10">
      <x:c r="A10" s="6" t="s">
        <x:v>217</x:v>
      </x:c>
      <x:c r="B10" s="72" t="n">
        <x:f>B5*12</x:f>
        <x:v>50400</x:v>
      </x:c>
    </x:row>
    <x:row r="11">
      <x:c r="B11" s="46"/>
    </x:row>
    <x:row r="12">
      <x:c r="A12" s="7" t="s">
        <x:v>218</x:v>
      </x:c>
      <x:c r="B12" s="47"/>
      <x:c r="C12" s="10"/>
      <x:c r="D12" s="10"/>
      <x:c r="E12" s="10"/>
      <x:c r="F12" s="10"/>
      <x:c r="G12" s="10"/>
      <x:c r="H12" s="10"/>
    </x:row>
    <x:row r="13">
      <x:c r="A13" s="6" t="s">
        <x:v>219</x:v>
      </x:c>
      <x:c r="B13" s="63" t="n">
        <x:v>500000</x:v>
      </x:c>
      <x:c r="D13" s="3" t="s">
        <x:v>220</x:v>
      </x:c>
    </x:row>
    <x:row r="14">
      <x:c r="A14" s="6" t="s">
        <x:v>221</x:v>
      </x:c>
      <x:c r="B14" s="50" t="n">
        <x:v>250</x:v>
      </x:c>
      <x:c r="C14" s="3" t="s">
        <x:v>222</x:v>
      </x:c>
    </x:row>
    <x:row r="15">
      <x:c r="A15" s="6" t="s">
        <x:v>223</x:v>
      </x:c>
      <x:c r="B15" s="52" t="n">
        <x:f>IF(B10=0,0,B13/B10)</x:f>
        <x:v>9.920634920634921</x:v>
      </x:c>
    </x:row>
    <x:row r="16">
      <x:c r="A16" s="12" t="s">
        <x:v>224</x:v>
      </x:c>
      <x:c r="B16" s="73" t="n">
        <x:f>IF(B14=0,0,B15/B14)</x:f>
        <x:v>0.03968253968253968</x:v>
      </x:c>
      <x:c r="C16" s="3" t="s">
        <x:v>225</x:v>
      </x:c>
    </x:row>
    <x:row r="17">
      <x:c r="A17" s="6" t="s">
        <x:v>226</x:v>
      </x:c>
      <x:c r="B17" s="66" t="str">
        <x:f>IF(B16&lt;=1,"KHẢ THI về mặt số học","BẤT KHẢ THI — ACV quá thấp để nuôi sales rep")</x:f>
        <x:v>KHẢ THI về mặt số học</x:v>
      </x:c>
    </x:row>
    <x:row r="18">
      <x:c r="B18" s="46"/>
    </x:row>
    <x:row r="19">
      <x:c r="A19" s="7" t="s">
        <x:v>227</x:v>
      </x:c>
      <x:c r="B19" s="47"/>
      <x:c r="C19" s="10"/>
      <x:c r="D19" s="10"/>
      <x:c r="E19" s="10"/>
      <x:c r="F19" s="10"/>
      <x:c r="G19" s="10"/>
      <x:c r="H19" s="10"/>
    </x:row>
    <x:row r="20">
      <x:c r="A20" s="6" t="s">
        <x:v>228</x:v>
      </x:c>
      <x:c r="B20" s="63" t="n">
        <x:v>8000</x:v>
      </x:c>
      <x:c r="D20" s="3" t="s">
        <x:v>229</x:v>
      </x:c>
    </x:row>
    <x:row r="21" ht="15.75" customHeight="1">
      <x:c r="A21" s="6" t="s">
        <x:v>230</x:v>
      </x:c>
      <x:c r="B21" s="51" t="n">
        <x:v>0.25</x:v>
      </x:c>
    </x:row>
    <x:row r="22" ht="15.75" customHeight="1">
      <x:c r="A22" s="6" t="s">
        <x:v>231</x:v>
      </x:c>
      <x:c r="B22" s="72" t="n">
        <x:f>IF(B21=0,0,B20/B21)</x:f>
        <x:v>32000</x:v>
      </x:c>
    </x:row>
    <x:row r="23" ht="15.75" customHeight="1">
      <x:c r="A23" s="12" t="s">
        <x:v>232</x:v>
      </x:c>
      <x:c r="B23" s="74" t="n">
        <x:f>IF(B9=0,0,B22/B9)</x:f>
        <x:v>0.4275859765161765</x:v>
      </x:c>
      <x:c r="D23" s="3" t="s">
        <x:v>233</x:v>
      </x:c>
    </x:row>
    <x:row r="24" ht="15.75" customHeight="1">
      <x:c r="A24" s="6" t="s">
        <x:v>165</x:v>
      </x:c>
      <x:c r="B24" s="66" t="str">
        <x:f>IF(B23&lt;=1,"Motion có sales KHẢ THI",IF(B23&lt;=3,"Căng — cần tăng giá hoặc giảm chi phí bán hàng","KHÔNG KHẢ THI — đi PLG hoặc Partner-Led"))</x:f>
        <x:v>Motion có sales KHẢ THI</x:v>
      </x:c>
    </x:row>
    <x:row r="25" ht="15.75" customHeight="1">
      <x:c r="B25" s="46"/>
    </x:row>
    <x:row r="26" ht="15.75" customHeight="1">
      <x:c r="A26" s="7" t="s">
        <x:v>234</x:v>
      </x:c>
      <x:c r="B26" s="47"/>
      <x:c r="C26" s="10"/>
      <x:c r="D26" s="10"/>
      <x:c r="E26" s="10"/>
      <x:c r="F26" s="10"/>
      <x:c r="G26" s="10"/>
      <x:c r="H26" s="10"/>
    </x:row>
    <x:row r="27" ht="15.75" customHeight="1">
      <x:c r="A27" s="27" t="s">
        <x:v>235</x:v>
      </x:c>
      <x:c r="B27" s="68" t="s">
        <x:v>236</x:v>
      </x:c>
      <x:c r="C27" s="27" t="s">
        <x:v>237</x:v>
      </x:c>
      <x:c r="D27" s="27" t="s">
        <x:v>238</x:v>
      </x:c>
    </x:row>
    <x:row r="28" ht="15.75" customHeight="1">
      <x:c r="A28" s="6" t="s">
        <x:v>239</x:v>
      </x:c>
      <x:c r="B28" s="49" t="n">
        <x:v>3</x:v>
      </x:c>
      <x:c r="C28" s="13" t="n">
        <x:v>4</x:v>
      </x:c>
      <x:c r="D28" s="13" t="n">
        <x:v>2</x:v>
      </x:c>
    </x:row>
    <x:row r="29" ht="15.75" customHeight="1">
      <x:c r="A29" s="6" t="s">
        <x:v>240</x:v>
      </x:c>
      <x:c r="B29" s="49" t="n">
        <x:v>1</x:v>
      </x:c>
      <x:c r="C29" s="13" t="n">
        <x:v>4</x:v>
      </x:c>
      <x:c r="D29" s="13" t="n">
        <x:v>2</x:v>
      </x:c>
    </x:row>
    <x:row r="30" ht="15.75" customHeight="1">
      <x:c r="A30" s="6" t="s">
        <x:v>241</x:v>
      </x:c>
      <x:c r="B30" s="49" t="n">
        <x:v>2</x:v>
      </x:c>
      <x:c r="C30" s="13" t="n">
        <x:v>2</x:v>
      </x:c>
      <x:c r="D30" s="13" t="n">
        <x:v>1</x:v>
      </x:c>
    </x:row>
    <x:row r="31" ht="15.75" customHeight="1">
      <x:c r="A31" s="6" t="s">
        <x:v>242</x:v>
      </x:c>
      <x:c r="B31" s="49" t="n">
        <x:v>2</x:v>
      </x:c>
      <x:c r="C31" s="13" t="n">
        <x:v>3</x:v>
      </x:c>
      <x:c r="D31" s="13" t="n">
        <x:v>1</x:v>
      </x:c>
    </x:row>
    <x:row r="32" ht="15.75" customHeight="1">
      <x:c r="A32" s="6" t="s">
        <x:v>243</x:v>
      </x:c>
      <x:c r="B32" s="49" t="n">
        <x:v>2</x:v>
      </x:c>
      <x:c r="C32" s="13" t="n">
        <x:v>4</x:v>
      </x:c>
      <x:c r="D32" s="13" t="n">
        <x:v>2</x:v>
      </x:c>
    </x:row>
    <x:row r="33" ht="15.75" customHeight="1">
      <x:c r="A33" s="6" t="s">
        <x:v>244</x:v>
      </x:c>
      <x:c r="B33" s="49" t="n">
        <x:v>3</x:v>
      </x:c>
      <x:c r="C33" s="13" t="n">
        <x:v>3</x:v>
      </x:c>
      <x:c r="D33" s="13" t="n">
        <x:v>1</x:v>
      </x:c>
    </x:row>
    <x:row r="34" ht="15.75" customHeight="1">
      <x:c r="A34" s="12" t="s">
        <x:v>245</x:v>
      </x:c>
      <x:c r="B34" s="70" t="n">
        <x:f t="shared" ref="B34:D34" si="1">SUM(B28:B33)</x:f>
        <x:v>13</x:v>
      </x:c>
      <x:c r="C34" s="26" t="n">
        <x:f t="shared" si="1">SUM(C28:C33)</x:f>
        <x:v>20</x:v>
      </x:c>
      <x:c r="D34" s="26" t="n">
        <x:f t="shared" si="1">SUM(D28:D33)</x:f>
        <x:v>9</x:v>
      </x:c>
    </x:row>
    <x:row r="35" ht="15.75" customHeight="1">
      <x:c r="A35" s="12" t="s">
        <x:v>246</x:v>
      </x:c>
      <x:c r="B35" s="70" t="str">
        <x:f>IF(AND(B34&gt;=C34,B34&gt;=D34),"PLG",IF(C34&gt;=D34,"Sales-Led","Partner-Led"))</x:f>
        <x:v>Sales-Led</x:v>
      </x:c>
    </x:row>
    <x:row r="36" ht="15.75" customHeight="1">
      <x:c r="B36" s="46"/>
    </x:row>
    <x:row r="37" ht="15.75" customHeight="1">
      <x:c r="A37" s="7" t="s">
        <x:v>247</x:v>
      </x:c>
      <x:c r="B37" s="47"/>
      <x:c r="C37" s="10"/>
      <x:c r="D37" s="10"/>
      <x:c r="E37" s="10"/>
      <x:c r="F37" s="10"/>
      <x:c r="G37" s="10"/>
      <x:c r="H37" s="10"/>
    </x:row>
    <x:row r="38" ht="85" customHeight="1">
      <x:c r="A38" s="6" t="s">
        <x:v>248</x:v>
      </x:c>
      <x:c r="B38" s="75" t="str">
        <x:v>Sales-Led</x:v>
      </x:c>
      <x:c r="D38" s="3" t="s">
        <x:v>249</x:v>
      </x:c>
    </x:row>
    <x:row r="39" ht="85" customHeight="1">
      <x:c r="A39" s="6" t="s">
        <x:v>250</x:v>
      </x:c>
      <x:c r="B39" s="75" t="str">
        <x:v>Không áp dụng: chọn Sales-Led</x:v>
      </x:c>
      <x:c r="D39" s="3" t="s">
        <x:v>251</x:v>
      </x:c>
    </x:row>
    <x:row r="40" ht="85" customHeight="1">
      <x:c r="A40" s="6" t="s">
        <x:v>252</x:v>
      </x:c>
      <x:c r="B40" s="75" t="str">
        <x:v>Chưa</x:v>
      </x:c>
    </x:row>
    <x:row r="41" ht="85" customHeight="1">
      <x:c r="A41" s="6" t="s">
        <x:v>253</x:v>
      </x:c>
      <x:c r="B41" s="75" t="str">
        <x:v>Không áp dụng; chưa có partner xác nhận.</x:v>
      </x:c>
    </x:row>
    <x:row r="42" ht="85" customHeight="1">
      <x:c r="A42" s="6" t="s">
        <x:v>254</x:v>
      </x:c>
      <x:c r="B42" s="75" t="str">
        <x:v>Founder bán pilot hẹp. Nếu CPO&gt;$10,127.50 tại win25% hoặc payback&gt;12th: giảm sales cost, rà giá/phạm vi; chưa thuê AE. Tab4 là dự toán sau pilot.</x:v>
      </x:c>
      <x:c r="D42" s="3" t="s">
        <x:v>255</x:v>
      </x:c>
    </x:row>
    <x:row r="43" ht="15.75" customHeight="1">
      <x:c r="B43" s="46"/>
    </x:row>
    <x:row r="44" ht="15.75" customHeight="1">
      <x:c r="B44" s="46"/>
    </x:row>
    <x:row r="45" ht="15.75" customHeight="1">
      <x:c r="B45" s="46"/>
    </x:row>
    <x:row r="46" ht="15.75" customHeight="1">
      <x:c r="B46" s="46"/>
    </x:row>
    <x:row r="47" ht="15.75" customHeight="1">
      <x:c r="B47" s="46"/>
    </x:row>
    <x:row r="48" ht="15.75" customHeight="1">
      <x:c r="B48" s="46"/>
    </x:row>
    <x:row r="49" ht="15.75" customHeight="1">
      <x:c r="B49" s="46"/>
    </x:row>
    <x:row r="50" ht="15.75" customHeight="1">
      <x:c r="B50" s="46"/>
    </x:row>
    <x:row r="51" ht="15.75" customHeight="1">
      <x:c r="B51" s="46"/>
    </x:row>
    <x:row r="52" ht="15.75" customHeight="1">
      <x:c r="B52" s="46"/>
    </x:row>
    <x:row r="53" ht="15.75" customHeight="1">
      <x:c r="B53" s="46"/>
    </x:row>
    <x:row r="54" ht="15.75" customHeight="1">
      <x:c r="B54" s="46"/>
    </x:row>
    <x:row r="55" ht="15.75" customHeight="1">
      <x:c r="B55" s="46"/>
    </x:row>
    <x:row r="56" ht="15.75" customHeight="1">
      <x:c r="B56" s="46"/>
    </x:row>
    <x:row r="57" ht="15.75" customHeight="1">
      <x:c r="B57" s="46"/>
    </x:row>
    <x:row r="58" ht="15.75" customHeight="1">
      <x:c r="B58" s="46"/>
    </x:row>
    <x:row r="59" ht="15.75" customHeight="1">
      <x:c r="B59" s="46"/>
    </x:row>
    <x:row r="60" ht="15.75" customHeight="1">
      <x:c r="B60" s="46"/>
    </x:row>
    <x:row r="61" ht="15.75" customHeight="1">
      <x:c r="B61" s="46"/>
    </x:row>
    <x:row r="62" ht="15.75" customHeight="1">
      <x:c r="B62" s="46"/>
    </x:row>
    <x:row r="63" ht="15.75" customHeight="1">
      <x:c r="B63" s="46"/>
    </x:row>
    <x:row r="64" ht="15.75" customHeight="1">
      <x:c r="B64" s="46"/>
    </x:row>
    <x:row r="65" ht="15.75" customHeight="1">
      <x:c r="B65" s="46"/>
    </x:row>
    <x:row r="66" ht="15.75" customHeight="1">
      <x:c r="B66" s="46"/>
    </x:row>
    <x:row r="67" ht="15.75" customHeight="1">
      <x:c r="B67" s="46"/>
    </x:row>
    <x:row r="68" ht="15.75" customHeight="1">
      <x:c r="B68" s="46"/>
    </x:row>
    <x:row r="69" ht="15.75" customHeight="1">
      <x:c r="B69" s="46"/>
    </x:row>
    <x:row r="70" ht="15.75" customHeight="1">
      <x:c r="B70" s="46"/>
    </x:row>
    <x:row r="71" ht="15.75" customHeight="1">
      <x:c r="B71" s="46"/>
    </x:row>
    <x:row r="72" ht="15.75" customHeight="1">
      <x:c r="B72" s="46"/>
    </x:row>
    <x:row r="73" ht="15.75" customHeight="1">
      <x:c r="B73" s="46"/>
    </x:row>
    <x:row r="74" ht="15.75" customHeight="1">
      <x:c r="B74" s="46"/>
    </x:row>
    <x:row r="75" ht="15.75" customHeight="1">
      <x:c r="B75" s="46"/>
    </x:row>
    <x:row r="76" ht="15.75" customHeight="1">
      <x:c r="B76" s="46"/>
    </x:row>
    <x:row r="77" ht="15.75" customHeight="1">
      <x:c r="B77" s="46"/>
    </x:row>
    <x:row r="78" ht="15.75" customHeight="1">
      <x:c r="B78" s="46"/>
    </x:row>
    <x:row r="79" ht="15.75" customHeight="1">
      <x:c r="B79" s="46"/>
    </x:row>
    <x:row r="80" ht="15.75" customHeight="1">
      <x:c r="B80" s="46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B7">
      <x:formula1>"SMB,Mid,Enterprise"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4" width="34" customWidth="1"/>
    <x:col min="5" max="8" width="15" customWidth="1"/>
    <x:col min="9" max="26" width="8.710000038146973" customWidth="1"/>
    <x:col min="2" max="2" width="44" hidden="0" customWidth="1"/>
    <x:col min="3" max="3" width="44" hidden="0" customWidth="1"/>
    <x:col min="4" max="4" width="44" hidden="0" customWidth="1"/>
  </x:cols>
  <x:sheetData>
    <x:row r="1" ht="24" customHeight="1">
      <x:c r="A1" s="1" t="s">
        <x:v>256</x:v>
      </x:c>
      <x:c r="B1" s="2"/>
      <x:c r="C1" s="2"/>
      <x:c r="D1" s="2"/>
      <x:c r="E1" s="2"/>
      <x:c r="F1" s="2"/>
      <x:c r="G1" s="2"/>
      <x:c r="H1" s="2"/>
    </x:row>
    <x:row r="2">
      <x:c r="A2" s="3" t="s">
        <x:v>257</x:v>
      </x:c>
    </x:row>
    <x:row r="4">
      <x:c r="A4" s="7" t="s">
        <x:v>258</x:v>
      </x:c>
      <x:c r="B4" s="10"/>
      <x:c r="C4" s="10"/>
      <x:c r="D4" s="10"/>
      <x:c r="E4" s="10"/>
      <x:c r="F4" s="10"/>
      <x:c r="G4" s="10"/>
      <x:c r="H4" s="10"/>
    </x:row>
    <x:row r="5" ht="75" customHeight="1">
      <x:c r="A5" s="76" t="s">
        <x:v>259</x:v>
      </x:c>
      <x:c r="B5" s="48" t="str">
        <x:v>09:00 thứ Hai, khi mẻ dữ liệu tuần vừa nạp (giả thuyết discovery).</x:v>
      </x:c>
      <x:c r="C5" s="46"/>
      <x:c r="D5" s="46"/>
    </x:row>
    <x:row r="6" ht="75" customHeight="1">
      <x:c r="A6" s="76" t="s">
        <x:v>260</x:v>
      </x:c>
      <x:c r="B6" s="48" t="str">
        <x:v>Data Steward VSF rà backlog vùng xám 0.55≤score&lt;0.85 trước kỳ đối soát tuần.</x:v>
      </x:c>
      <x:c r="C6" s="46"/>
      <x:c r="D6" s="46"/>
    </x:row>
    <x:row r="7" ht="75" customHeight="1">
      <x:c r="A7" s="76" t="s">
        <x:v>261</x:v>
      </x:c>
      <x:c r="B7" s="48" t="str">
        <x:v>Console MDM: Review Queue / Evidence Card DATA-17 (thiết kế; app hiện tại cần xác minh).</x:v>
      </x:c>
      <x:c r="C7" s="46"/>
      <x:c r="D7" s="46"/>
    </x:row>
    <x:row r="8" ht="75" customHeight="1">
      <x:c r="A8" s="76" t="s">
        <x:v>262</x:v>
      </x:c>
      <x:c r="B8" s="48" t="str">
        <x:v>Nhúng Evidence Card và Approve/Reject trong Review Queue; API nối pipeline Web/App/Referral, giữ workflow tuần.</x:v>
      </x:c>
      <x:c r="C8" s="46"/>
      <x:c r="D8" s="77" t="s">
        <x:v>263</x:v>
      </x:c>
    </x:row>
    <x:row r="9">
      <x:c r="A9" s="46"/>
      <x:c r="B9" s="46"/>
      <x:c r="C9" s="46"/>
      <x:c r="D9" s="46"/>
    </x:row>
    <x:row r="10">
      <x:c r="A10" s="78" t="s">
        <x:v>264</x:v>
      </x:c>
      <x:c r="B10" s="47"/>
      <x:c r="C10" s="47"/>
      <x:c r="D10" s="47"/>
      <x:c r="E10" s="10"/>
      <x:c r="F10" s="10"/>
      <x:c r="G10" s="10"/>
      <x:c r="H10" s="10"/>
    </x:row>
    <x:row r="11">
      <x:c r="A11" s="68"/>
      <x:c r="B11" s="68" t="s">
        <x:v>265</x:v>
      </x:c>
      <x:c r="C11" s="68" t="s">
        <x:v>266</x:v>
      </x:c>
      <x:c r="D11" s="68" t="s">
        <x:v>267</x:v>
      </x:c>
    </x:row>
    <x:row r="12" ht="110" customHeight="1">
      <x:c r="A12" s="76" t="s">
        <x:v>268</x:v>
      </x:c>
      <x:c r="B12" s="79" t="str">
        <x:v>Sales-Led: Founder</x:v>
      </x:c>
      <x:c r="C12" s="79" t="str">
        <x:v>Sales-Led: Founder</x:v>
      </x:c>
      <x:c r="D12" s="79" t="str">
        <x:v>Sales-Led: qua gate mới mở rộng</x:v>
      </x:c>
    </x:row>
    <x:row r="13" ht="110" customHeight="1">
      <x:c r="A13" s="76" t="s">
        <x:v>269</x:v>
      </x:c>
      <x:c r="B13" s="79" t="str">
        <x:v>Mục tiêu 2 design partners; chưa khách xác nhận</x:v>
      </x:c>
      <x:c r="C13" s="79" t="str">
        <x:v>Mục tiêu 2 pilot và 1 hợp đồng</x:v>
      </x:c>
      <x:c r="D13" s="79" t="str">
        <x:v>Mục tiêu 3 khách trả phí cùng ngách</x:v>
      </x:c>
    </x:row>
    <x:row r="14" ht="110" customHeight="1">
      <x:c r="A14" s="76" t="s">
        <x:v>270</x:v>
      </x:c>
      <x:c r="B14" s="79" t="str">
        <x:v>08/10–07/11: tiếp cận30 accounts; 10 phỏng vấn Head of Data/CDO và Steward.</x:v>
      </x:c>
      <x:c r="C14" s="79" t="str">
        <x:v>08/11–06/01: pilot dự kiến16/11–13/12, 2 khách×4tuần×10,000pairs.</x:v>
      </x:c>
      <x:c r="D14" s="79" t="str">
        <x:v>Từ07/01: chuẩn hóa connector/audit/CS trong cùng ngách VSF.</x:v>
      </x:c>
    </x:row>
    <x:row r="15" ht="110" customHeight="1">
      <x:c r="A15" s="76" t="s">
        <x:v>271</x:v>
      </x:c>
      <x:c r="B15" s="79" t="str">
        <x:v>Chốt ngân sách, app và baseline; 4 qualified opportunities, 2 LOI.</x:v>
      </x:c>
      <x:c r="C15" s="79" t="str">
        <x:v>Theo dõi14d sau quyết định cuối (đến27/12); procurement trước dùng PII thật.</x:v>
      </x:c>
      <x:c r="D15" s="79" t="str">
        <x:v>Chỉ mở rộng sau≥2mẻ tuần đủ14d; usageGM≥60%, payback≤12th.</x:v>
      </x:c>
    </x:row>
    <x:row r="16" ht="110" customHeight="1">
      <x:c r="A16" s="76" t="s">
        <x:v>272</x:v>
      </x:c>
      <x:c r="B16" s="79" t="str">
        <x:v>Holdout đại diện10,000 pair có nhãn; tách safety set. Dựng1 connector.</x:v>
      </x:c>
      <x:c r="C16" s="79" t="str">
        <x:v>So baseline vs AI cùng độ khó; report06/01; thương lượng1 hợp đồng.</x:v>
      </x:c>
      <x:c r="D16" s="79" t="str">
        <x:v>Thuê AE khi có pipeline, win và CPO đã đo; chưa mở đa ngành.</x:v>
      </x:c>
    </x:row>
    <x:row r="17" ht="110" customHeight="1">
      <x:c r="A17" s="76" t="s">
        <x:v>273</x:v>
      </x:c>
      <x:c r="B17" s="79" t="str">
        <x:v>10 interviews; 4 opportunities; 2 LOI; dataset và event contract được review.</x:v>
      </x:c>
      <x:c r="C17" s="79" t="str">
        <x:v>Mục tiêu review≤25s (baseline60s cần đo), NSM+30%; revert≤1%; auto R80% và false merge&lt;0.1% là gate bổ sung.</x:v>
      </x:c>
      <x:c r="D17" s="79" t="str">
        <x:v>3khách trả phí; giữ quality gate; retention85% chỉ mục tiêu chưa benchmark.</x:v>
      </x:c>
    </x:row>
    <x:row r="18" ht="110" customHeight="1">
      <x:c r="A18" s="76" t="s">
        <x:v>274</x:v>
      </x:c>
      <x:c r="B18" s="79" t="str">
        <x:v>Trần Đình Hinh PM/Founder; DE/ML là vai trò cần bố trí</x:v>
      </x:c>
      <x:c r="C18" s="79" t="str">
        <x:v>Hinh + Steward khách; DE/ML/Security cần bố trí; chưa khách pilot ký.</x:v>
      </x:c>
      <x:c r="D18" s="79" t="str">
        <x:v>Hinh Accountable; Sales/CS khi có ngân sách</x:v>
      </x:c>
    </x:row>
    <x:row r="19">
      <x:c r="A19" s="77" t="s">
        <x:v>275</x:v>
      </x:c>
      <x:c r="B19" s="46"/>
      <x:c r="C19" s="46"/>
      <x:c r="D19" s="46"/>
    </x:row>
    <x:row r="20">
      <x:c r="A20" s="46"/>
      <x:c r="B20" s="46"/>
      <x:c r="C20" s="46"/>
      <x:c r="D20" s="46"/>
    </x:row>
    <x:row r="21" ht="15.75" customHeight="1">
      <x:c r="A21" s="78" t="s">
        <x:v>276</x:v>
      </x:c>
      <x:c r="B21" s="47"/>
      <x:c r="C21" s="47"/>
      <x:c r="D21" s="47"/>
      <x:c r="E21" s="10"/>
      <x:c r="F21" s="10"/>
      <x:c r="G21" s="10"/>
      <x:c r="H21" s="10"/>
    </x:row>
    <x:row r="22" ht="15.75" customHeight="1">
      <x:c r="A22" s="68" t="s">
        <x:v>277</x:v>
      </x:c>
      <x:c r="B22" s="68" t="s">
        <x:v>278</x:v>
      </x:c>
      <x:c r="C22" s="68" t="s">
        <x:v>279</x:v>
      </x:c>
      <x:c r="D22" s="68" t="s">
        <x:v>280</x:v>
      </x:c>
    </x:row>
    <x:row r="23" ht="95" customHeight="1">
      <x:c r="A23" s="76" t="s">
        <x:v>281</x:v>
      </x:c>
      <x:c r="B23" s="79" t="str">
        <x:v>Chưa có kết quả</x:v>
      </x:c>
      <x:c r="C23" s="79" t="str">
        <x:v>Eval plan: holdout đại diện10k; precision/recall, clean R14d, false merge, CI, cost và latency.</x:v>
      </x:c>
      <x:c r="D23" s="79" t="str">
        <x:v>Hinh / ML cần bố trí · 07/11/2026</x:v>
      </x:c>
    </x:row>
    <x:row r="24" ht="95" customHeight="1">
      <x:c r="A24" s="76" t="s">
        <x:v>282</x:v>
      </x:c>
      <x:c r="B24" s="79" t="str">
        <x:v>Q&amp;A dự thảo</x:v>
      </x:c>
      <x:c r="C24" s="79" t="str">
        <x:v>3câu procurement và bằng chứng còn thiếu: rollback; PII/paid API; DPA/retention; export/exit.</x:v>
      </x:c>
      <x:c r="D24" s="79" t="str">
        <x:v>Hinh / Security cần bố trí · 14/11/2026</x:v>
      </x:c>
    </x:row>
    <x:row r="25" ht="95" customHeight="1">
      <x:c r="A25" s="76" t="s">
        <x:v>283</x:v>
      </x:c>
      <x:c r="B25" s="79" t="str">
        <x:v>Report template; chưa pilot</x:v>
      </x:c>
      <x:c r="C25" s="79" t="str">
        <x:v>2khách chưa xác nhận; bắt đầu dự kiến16/11; 4tuần+14d; baseline, quality, thời gian và ROI.</x:v>
      </x:c>
      <x:c r="D25" s="79" t="str">
        <x:v>Hinh / Steward khách · 06/01/2027</x:v>
      </x:c>
    </x:row>
    <x:row r="26" ht="15.75" customHeight="1">
      <x:c r="A26" s="77" t="s">
        <x:v>284</x:v>
      </x:c>
      <x:c r="B26" s="46"/>
      <x:c r="C26" s="46"/>
      <x:c r="D26" s="46"/>
    </x:row>
    <x:row r="27" ht="15.75" customHeight="1">
      <x:c r="A27" s="46"/>
      <x:c r="B27" s="46"/>
      <x:c r="C27" s="46"/>
      <x:c r="D27" s="46"/>
    </x:row>
    <x:row r="28" ht="15.75" customHeight="1">
      <x:c r="A28" s="78" t="s">
        <x:v>285</x:v>
      </x:c>
      <x:c r="B28" s="47"/>
      <x:c r="C28" s="47"/>
      <x:c r="D28" s="47"/>
      <x:c r="E28" s="10"/>
      <x:c r="F28" s="10"/>
      <x:c r="G28" s="10"/>
      <x:c r="H28" s="10"/>
    </x:row>
    <x:row r="29" ht="50" customHeight="1">
      <x:c r="A29" s="76" t="s">
        <x:v>286</x:v>
      </x:c>
      <x:c r="B29" s="48" t="str">
        <x:v>Chưa thực hiện với người đọc độc lập</x:v>
      </x:c>
      <x:c r="C29" s="46"/>
      <x:c r="D29" s="46"/>
    </x:row>
    <x:row r="30" ht="50" customHeight="1">
      <x:c r="A30" s="76" t="s">
        <x:v>287</x:v>
      </x:c>
      <x:c r="B30" s="48" t="str">
        <x:v>Chưa thực hiện với người đọc độc lập</x:v>
      </x:c>
      <x:c r="C30" s="46"/>
      <x:c r="D30" s="46"/>
    </x:row>
    <x:row r="31" ht="50" customHeight="1">
      <x:c r="A31" s="76" t="s">
        <x:v>288</x:v>
      </x:c>
      <x:c r="B31" s="48" t="str">
        <x:v>Chưa thực hiện với người đọc độc lập</x:v>
      </x:c>
      <x:c r="C31" s="46"/>
      <x:c r="D31" s="46"/>
    </x:row>
    <x:row r="32" ht="50" customHeight="1">
      <x:c r="A32" s="76" t="s">
        <x:v>289</x:v>
      </x:c>
      <x:c r="B32" s="48" t="str">
        <x:v>Chưa đo; mục tiêu≤3câu sau2phút</x:v>
      </x:c>
      <x:c r="C32" s="46"/>
      <x:c r="D32" s="46"/>
    </x:row>
    <x:row r="33" ht="15.75" customHeight="1"/>
    <x:row r="34" ht="15.75" customHeight="1"/>
    <x:row r="35" ht="34" customHeight="1">
      <x:c r="A35" s="83" t="str">
        <x:v>MỤC TIÊU PILOT TỪ METRICS PACK (CHƯA ĐO)</x:v>
      </x:c>
      <x:c r="B35" s="83"/>
    </x:row>
    <x:row r="36" ht="34" customHeight="1">
      <x:c r="A36" s="83" t="str">
        <x:v>Baseline review dự kiến (giây)</x:v>
      </x:c>
      <x:c r="B36" s="94" t="n">
        <x:v>60</x:v>
      </x:c>
    </x:row>
    <x:row r="37" ht="34" customHeight="1">
      <x:c r="A37" s="83" t="str">
        <x:v>Review time mục tiêu (giây)</x:v>
      </x:c>
      <x:c r="B37" s="94" t="n">
        <x:v>25</x:v>
      </x:c>
    </x:row>
    <x:row r="38" ht="34" customHeight="1">
      <x:c r="A38" s="83" t="str">
        <x:v>Mức giảm thời gian mục tiêu</x:v>
      </x:c>
      <x:c r="B38" s="90" t="n">
        <x:f>1-B37/B36</x:f>
        <x:v>0.5833333333333333</x:v>
      </x:c>
    </x:row>
    <x:row r="39" ht="34" customHeight="1">
      <x:c r="A39" s="83" t="str">
        <x:v>NSM tăng sau4tuần</x:v>
      </x:c>
      <x:c r="B39" s="95" t="n">
        <x:v>0.3</x:v>
      </x:c>
    </x:row>
    <x:row r="40" ht="34" customHeight="1">
      <x:c r="A40" s="83" t="str">
        <x:v>Quality window (ngày)</x:v>
      </x:c>
      <x:c r="B40" s="94" t="n">
        <x:v>14</x:v>
      </x:c>
    </x:row>
    <x:row r="41" ht="34" customHeight="1">
      <x:c r="A41" s="83" t="str">
        <x:v>Revert rate cảnh báo tối đa</x:v>
      </x:c>
      <x:c r="B41" s="95" t="n">
        <x:v>0.01</x:v>
      </x:c>
    </x:row>
    <x:row r="42" ht="34" customHeight="1">
      <x:c r="A42" s="83" t="str">
        <x:v>Evidence Attachment Rate</x:v>
      </x:c>
      <x:c r="B42" s="95" t="n">
        <x:v>0.8</x:v>
      </x:c>
    </x:row>
    <x:row r="43" ht="34" customHeight="1">
      <x:c r="A43" s="83" t="str">
        <x:v>Trần LLM/resolved candidate ($)</x:v>
      </x:c>
      <x:c r="B43" s="97" t="n">
        <x:v>0.02</x:v>
      </x:c>
    </x:row>
    <x:row r="44" ht="34" customHeight="1">
      <x:c r="A44" s="83" t="str">
        <x:v>Activation: số ca Steward</x:v>
      </x:c>
      <x:c r="B44" s="94" t="n">
        <x:v>5</x:v>
      </x:c>
    </x:row>
    <x:row r="45" ht="34" customHeight="1">
      <x:c r="A45" s="83" t="str">
        <x:v>Activation window (giờ)</x:v>
      </x:c>
      <x:c r="B45" s="94" t="n">
        <x:v>48</x:v>
      </x:c>
    </x:row>
    <x:row r="46" ht="34" customHeight="1">
      <x:c r="A46" s="83" t="str">
        <x:v>Retention threshold/tuần</x:v>
      </x:c>
      <x:c r="B46" s="94" t="n">
        <x:v>10</x:v>
      </x:c>
    </x:row>
    <x:row r="47" ht="34" customHeight="1">
      <x:c r="A47" s="83" t="str">
        <x:v>Weekly retention mục tiêu</x:v>
      </x:c>
      <x:c r="B47" s="95" t="n">
        <x:v>0.85</x:v>
      </x:c>
    </x:row>
    <x:row r="48" ht="34" customHeight="1">
      <x:c r="A48" s="83" t="str">
        <x:v>Auto false-merge gate bổ sung</x:v>
      </x:c>
      <x:c r="B48" s="95" t="n">
        <x:v>0.001</x:v>
      </x:c>
    </x:row>
    <x:row r="49" ht="34" customHeight="1">
      <x:c r="A49" s="83"/>
      <x:c r="B49" s="83"/>
    </x:row>
    <x:row r="50" ht="34" customHeight="1">
      <x:c r="A50" s="83" t="str">
        <x:v>NGÀY VÀ KPI KẾ HOẠCH CHƯA CÓ KẾT QUẢ</x:v>
      </x:c>
      <x:c r="B50" s="83"/>
    </x:row>
    <x:row r="51" ht="34" customHeight="1">
      <x:c r="A51" s="83" t="str">
        <x:v>Bắt đầu90ngày</x:v>
      </x:c>
      <x:c r="B51" s="96" t="d">
        <x:v>2026-10-08T00:00:00.000Z</x:v>
      </x:c>
    </x:row>
    <x:row r="52" ht="34" customHeight="1">
      <x:c r="A52" s="83" t="str">
        <x:v>Kết thúc90ngày (D0+90)</x:v>
      </x:c>
      <x:c r="B52" s="96" t="d">
        <x:v>2027-01-06T00:00:00.000Z</x:v>
      </x:c>
    </x:row>
    <x:row r="53" ht="34" customHeight="1">
      <x:c r="A53" s="83" t="str">
        <x:v>Accounts discovery</x:v>
      </x:c>
      <x:c r="B53" s="94" t="n">
        <x:v>30</x:v>
      </x:c>
    </x:row>
    <x:row r="54" ht="34" customHeight="1">
      <x:c r="A54" s="83" t="str">
        <x:v>Phỏng vấn</x:v>
      </x:c>
      <x:c r="B54" s="94" t="n">
        <x:v>10</x:v>
      </x:c>
    </x:row>
    <x:row r="55" ht="34" customHeight="1">
      <x:c r="A55" s="83" t="str">
        <x:v>Qualified opportunities</x:v>
      </x:c>
      <x:c r="B55" s="94" t="n">
        <x:v>4</x:v>
      </x:c>
    </x:row>
    <x:row r="56" ht="34" customHeight="1">
      <x:c r="A56" s="83" t="str">
        <x:v>Design partners / LOI</x:v>
      </x:c>
      <x:c r="B56" s="94" t="n">
        <x:v>2</x:v>
      </x:c>
    </x:row>
    <x:row r="57" ht="34" customHeight="1">
      <x:c r="A57" s="83" t="str">
        <x:v>Holdout representative pairs</x:v>
      </x:c>
      <x:c r="B57" s="94" t="n">
        <x:v>10000</x:v>
      </x:c>
    </x:row>
    <x:row r="58" ht="34" customHeight="1">
      <x:c r="A58" s="83" t="str">
        <x:v>Số pilot mục tiêu</x:v>
      </x:c>
      <x:c r="B58" s="94" t="n">
        <x:v>2</x:v>
      </x:c>
    </x:row>
    <x:row r="59" ht="34" customHeight="1">
      <x:c r="A59" s="83" t="str">
        <x:v>Tuần/pilot</x:v>
      </x:c>
      <x:c r="B59" s="94" t="n">
        <x:v>4</x:v>
      </x:c>
    </x:row>
    <x:row r="60" ht="34" customHeight="1">
      <x:c r="A60" s="83" t="str">
        <x:v>Pairs/pilot</x:v>
      </x:c>
      <x:c r="B60" s="94" t="n">
        <x:v>10000</x:v>
      </x:c>
    </x:row>
    <x:row r="61" ht="34" customHeight="1">
      <x:c r="A61" s="83" t="str">
        <x:v>Hợp đồng mục tiêu90ngày</x:v>
      </x:c>
      <x:c r="B61" s="94" t="n">
        <x:v>1</x:v>
      </x:c>
    </x:row>
    <x:row r="62" ht="34" customHeight="1">
      <x:c r="A62" s="83" t="str">
        <x:v>Bắt đầu pilot dự kiến</x:v>
      </x:c>
      <x:c r="B62" s="96" t="d">
        <x:v>2026-11-16T00:00:00.000Z</x:v>
      </x:c>
    </x:row>
    <x:row r="63" ht="34" customHeight="1">
      <x:c r="A63" s="83" t="str">
        <x:v>Kết thúc4tuần pilot</x:v>
      </x:c>
      <x:c r="B63" s="96" t="d">
        <x:v>2026-12-13T00:00:00.000Z</x:v>
      </x:c>
    </x:row>
    <x:row r="64" ht="34" customHeight="1">
      <x:c r="A64" s="83" t="str">
        <x:v>Cohort cuối đủ14ngày</x:v>
      </x:c>
      <x:c r="B64" s="96" t="d">
        <x:v>2026-12-27T00:00:00.000Z</x:v>
      </x:c>
    </x:row>
    <x:row r="65" ht="34" customHeight="1">
      <x:c r="A65" s="83" t="str">
        <x:v>Deadline Eval Results</x:v>
      </x:c>
      <x:c r="B65" s="96" t="d">
        <x:v>2026-11-07T00:00:00.000Z</x:v>
      </x:c>
    </x:row>
    <x:row r="66" ht="34" customHeight="1">
      <x:c r="A66" s="83" t="str">
        <x:v>Deadline Procurement Q&amp;A</x:v>
      </x:c>
      <x:c r="B66" s="96" t="d">
        <x:v>2026-11-14T00:00:00.000Z</x:v>
      </x:c>
    </x:row>
    <x:row r="67" ht="34" customHeight="1">
      <x:c r="A67" s="83" t="str">
        <x:v>Deadline Pilot Report</x:v>
      </x:c>
      <x:c r="B67" s="93" t="n">
        <x:f>B52</x:f>
        <x:v>46393</x:v>
      </x:c>
    </x:row>
    <x:row r="68" ht="34" customHeight="1">
      <x:c r="A68" s="83" t="str">
        <x:v>Mở rộng có điều kiện</x:v>
      </x:c>
      <x:c r="B68" s="96" t="d">
        <x:v>2027-01-07T00:00:00.000Z</x:v>
      </x:c>
    </x:row>
    <x:row r="69" ht="34" customHeight="1">
      <x:c r="A69" s="83" t="str">
        <x:v>Khách trả phí mục tiêu tháng4+</x:v>
      </x:c>
      <x:c r="B69" s="94" t="n">
        <x:v>3</x:v>
      </x:c>
    </x:row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26" customWidth="1"/>
    <x:col min="2" max="2" width="78" hidden="0" customWidth="1"/>
    <x:col min="3" max="3" width="20" customWidth="1"/>
    <x:col min="4" max="4" width="16" customWidth="1"/>
    <x:col min="5" max="5" width="55" hidden="0" customWidth="1"/>
    <x:col min="6" max="8" width="15" customWidth="1"/>
    <x:col min="9" max="26" width="8.710000038146973" customWidth="1"/>
  </x:cols>
  <x:sheetData>
    <x:row r="1" ht="24" customHeight="1">
      <x:c r="A1" s="1" t="s">
        <x:v>290</x:v>
      </x:c>
      <x:c r="B1" s="2"/>
      <x:c r="C1" s="2"/>
      <x:c r="D1" s="2"/>
      <x:c r="E1" s="2"/>
      <x:c r="F1" s="2"/>
      <x:c r="G1" s="2"/>
      <x:c r="H1" s="2"/>
    </x:row>
    <x:row r="2">
      <x:c r="A2" s="3" t="s">
        <x:v>291</x:v>
      </x:c>
    </x:row>
    <x:row r="3">
      <x:c r="A3" s="6" t="s">
        <x:v>292</x:v>
      </x:c>
      <x:c r="B3" s="5"/>
      <x:c r="D3" s="3" t="s">
        <x:v>293</x:v>
      </x:c>
    </x:row>
    <x:row r="5">
      <x:c r="A5" s="42" t="s">
        <x:v>294</x:v>
      </x:c>
      <x:c r="B5" s="42" t="s">
        <x:v>295</x:v>
      </x:c>
      <x:c r="C5" s="42" t="s">
        <x:v>296</x:v>
      </x:c>
      <x:c r="D5" s="42" t="s">
        <x:v>297</x:v>
      </x:c>
      <x:c r="E5" s="42" t="s">
        <x:v>298</x:v>
      </x:c>
    </x:row>
    <x:row r="6">
      <x:c r="A6" s="43" t="s">
        <x:v>122</x:v>
      </x:c>
      <x:c r="B6" s="43" t="s">
        <x:v>299</x:v>
      </x:c>
      <x:c r="C6" s="43" t="s">
        <x:v>300</x:v>
      </x:c>
      <x:c r="D6" s="43" t="s">
        <x:v>301</x:v>
      </x:c>
      <x:c r="E6" s="44" t="s">
        <x:v>302</x:v>
      </x:c>
    </x:row>
    <x:row r="7">
      <x:c r="A7" s="43" t="s">
        <x:v>122</x:v>
      </x:c>
      <x:c r="B7" s="43" t="s">
        <x:v>303</x:v>
      </x:c>
      <x:c r="C7" s="43" t="s">
        <x:v>304</x:v>
      </x:c>
      <x:c r="D7" s="43" t="s">
        <x:v>301</x:v>
      </x:c>
      <x:c r="E7" s="44" t="s">
        <x:v>302</x:v>
      </x:c>
    </x:row>
    <x:row r="8">
      <x:c r="A8" s="43" t="s">
        <x:v>122</x:v>
      </x:c>
      <x:c r="B8" s="43" t="s">
        <x:v>305</x:v>
      </x:c>
      <x:c r="C8" s="43" t="s">
        <x:v>306</x:v>
      </x:c>
      <x:c r="D8" s="43" t="s">
        <x:v>301</x:v>
      </x:c>
      <x:c r="E8" s="44" t="s">
        <x:v>302</x:v>
      </x:c>
    </x:row>
    <x:row r="9">
      <x:c r="A9" s="43" t="s">
        <x:v>122</x:v>
      </x:c>
      <x:c r="B9" s="43" t="s">
        <x:v>307</x:v>
      </x:c>
      <x:c r="C9" s="43" t="s">
        <x:v>308</x:v>
      </x:c>
      <x:c r="D9" s="43" t="s">
        <x:v>309</x:v>
      </x:c>
      <x:c r="E9" s="44" t="s">
        <x:v>302</x:v>
      </x:c>
    </x:row>
    <x:row r="10">
      <x:c r="A10" s="43" t="s">
        <x:v>122</x:v>
      </x:c>
      <x:c r="B10" s="43" t="s">
        <x:v>310</x:v>
      </x:c>
      <x:c r="C10" s="43" t="s">
        <x:v>311</x:v>
      </x:c>
      <x:c r="D10" s="43" t="s">
        <x:v>301</x:v>
      </x:c>
      <x:c r="E10" s="44" t="s">
        <x:v>312</x:v>
      </x:c>
    </x:row>
    <x:row r="11">
      <x:c r="A11" s="43" t="s">
        <x:v>122</x:v>
      </x:c>
      <x:c r="B11" s="43" t="s">
        <x:v>313</x:v>
      </x:c>
      <x:c r="C11" s="43" t="s">
        <x:v>314</x:v>
      </x:c>
      <x:c r="D11" s="43" t="s">
        <x:v>301</x:v>
      </x:c>
      <x:c r="E11" s="44" t="s">
        <x:v>315</x:v>
      </x:c>
    </x:row>
    <x:row r="12">
      <x:c r="A12" s="43" t="s">
        <x:v>122</x:v>
      </x:c>
      <x:c r="B12" s="43" t="s">
        <x:v>316</x:v>
      </x:c>
      <x:c r="C12" s="43" t="s">
        <x:v>317</x:v>
      </x:c>
      <x:c r="D12" s="43" t="s">
        <x:v>309</x:v>
      </x:c>
      <x:c r="E12" s="44" t="s">
        <x:v>315</x:v>
      </x:c>
    </x:row>
    <x:row r="13">
      <x:c r="A13" s="43" t="s">
        <x:v>122</x:v>
      </x:c>
      <x:c r="B13" s="43" t="s">
        <x:v>318</x:v>
      </x:c>
      <x:c r="C13" s="43" t="s">
        <x:v>319</x:v>
      </x:c>
      <x:c r="D13" s="43" t="s">
        <x:v>301</x:v>
      </x:c>
      <x:c r="E13" s="44" t="s">
        <x:v>320</x:v>
      </x:c>
    </x:row>
    <x:row r="14">
      <x:c r="A14" s="43" t="s">
        <x:v>122</x:v>
      </x:c>
      <x:c r="B14" s="43" t="s">
        <x:v>321</x:v>
      </x:c>
      <x:c r="C14" s="43" t="s">
        <x:v>322</x:v>
      </x:c>
      <x:c r="D14" s="43" t="s">
        <x:v>301</x:v>
      </x:c>
      <x:c r="E14" s="44" t="s">
        <x:v>323</x:v>
      </x:c>
    </x:row>
    <x:row r="15">
      <x:c r="A15" s="43" t="s">
        <x:v>324</x:v>
      </x:c>
      <x:c r="B15" s="43" t="s">
        <x:v>325</x:v>
      </x:c>
      <x:c r="C15" s="43" t="s">
        <x:v>326</x:v>
      </x:c>
      <x:c r="D15" s="43" t="s">
        <x:v>327</x:v>
      </x:c>
      <x:c r="E15" s="44" t="s">
        <x:v>328</x:v>
      </x:c>
    </x:row>
    <x:row r="16">
      <x:c r="A16" s="43" t="s">
        <x:v>324</x:v>
      </x:c>
      <x:c r="B16" s="43" t="s">
        <x:v>329</x:v>
      </x:c>
      <x:c r="C16" s="43" t="s">
        <x:v>330</x:v>
      </x:c>
      <x:c r="D16" s="43" t="s">
        <x:v>327</x:v>
      </x:c>
      <x:c r="E16" s="44" t="s">
        <x:v>331</x:v>
      </x:c>
    </x:row>
    <x:row r="17">
      <x:c r="A17" s="43" t="s">
        <x:v>324</x:v>
      </x:c>
      <x:c r="B17" s="43" t="s">
        <x:v>332</x:v>
      </x:c>
      <x:c r="C17" s="43" t="s">
        <x:v>333</x:v>
      </x:c>
      <x:c r="D17" s="43" t="s">
        <x:v>327</x:v>
      </x:c>
      <x:c r="E17" s="44" t="s">
        <x:v>334</x:v>
      </x:c>
    </x:row>
    <x:row r="18">
      <x:c r="A18" s="43" t="s">
        <x:v>324</x:v>
      </x:c>
      <x:c r="B18" s="43" t="s">
        <x:v>335</x:v>
      </x:c>
      <x:c r="C18" s="43" t="s">
        <x:v>336</x:v>
      </x:c>
      <x:c r="D18" s="43" t="s">
        <x:v>327</x:v>
      </x:c>
      <x:c r="E18" s="44" t="s">
        <x:v>315</x:v>
      </x:c>
    </x:row>
    <x:row r="19">
      <x:c r="A19" s="43" t="s">
        <x:v>337</x:v>
      </x:c>
      <x:c r="B19" s="43" t="s">
        <x:v>338</x:v>
      </x:c>
      <x:c r="C19" s="43" t="s">
        <x:v>339</x:v>
      </x:c>
      <x:c r="D19" s="43" t="s">
        <x:v>340</x:v>
      </x:c>
      <x:c r="E19" s="44" t="s">
        <x:v>341</x:v>
      </x:c>
    </x:row>
    <x:row r="20">
      <x:c r="A20" s="43" t="s">
        <x:v>337</x:v>
      </x:c>
      <x:c r="B20" s="43" t="s">
        <x:v>342</x:v>
      </x:c>
      <x:c r="C20" s="43" t="s">
        <x:v>343</x:v>
      </x:c>
      <x:c r="D20" s="43" t="s">
        <x:v>340</x:v>
      </x:c>
      <x:c r="E20" s="44" t="s">
        <x:v>315</x:v>
      </x:c>
    </x:row>
    <x:row r="21" ht="15.75" customHeight="1">
      <x:c r="A21" s="43" t="s">
        <x:v>337</x:v>
      </x:c>
      <x:c r="B21" s="43" t="s">
        <x:v>344</x:v>
      </x:c>
      <x:c r="C21" s="43" t="s">
        <x:v>345</x:v>
      </x:c>
      <x:c r="D21" s="43" t="s">
        <x:v>340</x:v>
      </x:c>
      <x:c r="E21" s="44" t="s">
        <x:v>346</x:v>
      </x:c>
    </x:row>
    <x:row r="22" ht="15.75" customHeight="1">
      <x:c r="A22" s="43" t="s">
        <x:v>337</x:v>
      </x:c>
      <x:c r="B22" s="43" t="s">
        <x:v>347</x:v>
      </x:c>
      <x:c r="C22" s="43" t="s">
        <x:v>348</x:v>
      </x:c>
      <x:c r="D22" s="43" t="s">
        <x:v>340</x:v>
      </x:c>
      <x:c r="E22" s="44" t="s">
        <x:v>346</x:v>
      </x:c>
    </x:row>
    <x:row r="23" ht="15.75" customHeight="1">
      <x:c r="A23" s="43" t="s">
        <x:v>349</x:v>
      </x:c>
      <x:c r="B23" s="43" t="s">
        <x:v>350</x:v>
      </x:c>
      <x:c r="C23" s="43" t="s">
        <x:v>351</x:v>
      </x:c>
      <x:c r="D23" s="43" t="s">
        <x:v>352</x:v>
      </x:c>
      <x:c r="E23" s="44" t="s">
        <x:v>353</x:v>
      </x:c>
    </x:row>
    <x:row r="24" ht="15.75" customHeight="1">
      <x:c r="A24" s="43" t="s">
        <x:v>354</x:v>
      </x:c>
      <x:c r="B24" s="43" t="s">
        <x:v>355</x:v>
      </x:c>
      <x:c r="C24" s="43" t="s">
        <x:v>356</x:v>
      </x:c>
      <x:c r="D24" s="43" t="s">
        <x:v>357</x:v>
      </x:c>
      <x:c r="E24" s="44" t="s">
        <x:v>358</x:v>
      </x:c>
    </x:row>
    <x:row r="25" ht="15.75" customHeight="1">
      <x:c r="A25" s="43" t="s">
        <x:v>354</x:v>
      </x:c>
      <x:c r="B25" s="43" t="s">
        <x:v>359</x:v>
      </x:c>
      <x:c r="C25" s="43" t="s">
        <x:v>360</x:v>
      </x:c>
      <x:c r="D25" s="43" t="s">
        <x:v>357</x:v>
      </x:c>
      <x:c r="E25" s="44" t="s">
        <x:v>361</x:v>
      </x:c>
    </x:row>
    <x:row r="26" ht="15.75" customHeight="1">
      <x:c r="A26" s="43" t="s">
        <x:v>354</x:v>
      </x:c>
      <x:c r="B26" s="43" t="s">
        <x:v>362</x:v>
      </x:c>
      <x:c r="C26" s="43" t="s">
        <x:v>363</x:v>
      </x:c>
      <x:c r="D26" s="43" t="s">
        <x:v>309</x:v>
      </x:c>
      <x:c r="E26" s="44" t="s">
        <x:v>364</x:v>
      </x:c>
    </x:row>
    <x:row r="27" ht="15.75" customHeight="1">
      <x:c r="A27" s="43" t="s">
        <x:v>365</x:v>
      </x:c>
      <x:c r="B27" s="43" t="s">
        <x:v>366</x:v>
      </x:c>
      <x:c r="C27" s="43" t="s">
        <x:v>367</x:v>
      </x:c>
      <x:c r="D27" s="43" t="s">
        <x:v>368</x:v>
      </x:c>
      <x:c r="E27" s="44" t="s">
        <x:v>369</x:v>
      </x:c>
    </x:row>
    <x:row r="28" ht="15.75" customHeight="1">
      <x:c r="A28" s="43" t="s">
        <x:v>365</x:v>
      </x:c>
      <x:c r="B28" s="43" t="s">
        <x:v>370</x:v>
      </x:c>
      <x:c r="C28" s="43" t="s">
        <x:v>371</x:v>
      </x:c>
      <x:c r="D28" s="43" t="s">
        <x:v>368</x:v>
      </x:c>
      <x:c r="E28" s="44" t="s">
        <x:v>369</x:v>
      </x:c>
    </x:row>
    <x:row r="29" ht="15.75" customHeight="1">
      <x:c r="A29" s="43" t="s">
        <x:v>365</x:v>
      </x:c>
      <x:c r="B29" s="43" t="s">
        <x:v>372</x:v>
      </x:c>
      <x:c r="C29" s="43" t="s">
        <x:v>373</x:v>
      </x:c>
      <x:c r="D29" s="43" t="s">
        <x:v>374</x:v>
      </x:c>
      <x:c r="E29" s="44" t="s">
        <x:v>375</x:v>
      </x:c>
    </x:row>
    <x:row r="30" ht="15.75" customHeight="1">
      <x:c r="A30" s="43" t="s">
        <x:v>365</x:v>
      </x:c>
      <x:c r="B30" s="43" t="s">
        <x:v>376</x:v>
      </x:c>
      <x:c r="C30" s="43" t="s">
        <x:v>377</x:v>
      </x:c>
      <x:c r="D30" s="43" t="s">
        <x:v>378</x:v>
      </x:c>
      <x:c r="E30" s="44" t="s">
        <x:v>379</x:v>
      </x:c>
    </x:row>
    <x:row r="31" ht="15.75" customHeight="1">
      <x:c r="A31" s="43" t="s">
        <x:v>365</x:v>
      </x:c>
      <x:c r="B31" s="43" t="s">
        <x:v>380</x:v>
      </x:c>
      <x:c r="C31" s="43" t="s">
        <x:v>381</x:v>
      </x:c>
      <x:c r="D31" s="43" t="s">
        <x:v>382</x:v>
      </x:c>
      <x:c r="E31" s="44" t="s">
        <x:v>379</x:v>
      </x:c>
    </x:row>
    <x:row r="32" ht="15.75" customHeight="1">
      <x:c r="A32" s="43" t="s">
        <x:v>365</x:v>
      </x:c>
      <x:c r="B32" s="43" t="s">
        <x:v>383</x:v>
      </x:c>
      <x:c r="C32" s="43" t="s">
        <x:v>384</x:v>
      </x:c>
      <x:c r="D32" s="43" t="s">
        <x:v>378</x:v>
      </x:c>
      <x:c r="E32" s="44" t="s">
        <x:v>385</x:v>
      </x:c>
    </x:row>
    <x:row r="33" ht="15.75" customHeight="1">
      <x:c r="A33" s="43" t="s">
        <x:v>365</x:v>
      </x:c>
      <x:c r="B33" s="43" t="s">
        <x:v>386</x:v>
      </x:c>
      <x:c r="C33" s="43" t="s">
        <x:v>387</x:v>
      </x:c>
      <x:c r="D33" s="43" t="s">
        <x:v>388</x:v>
      </x:c>
      <x:c r="E33" s="44" t="s">
        <x:v>385</x:v>
      </x:c>
    </x:row>
    <x:row r="34" ht="15.75" customHeight="1">
      <x:c r="A34" s="43" t="s">
        <x:v>365</x:v>
      </x:c>
      <x:c r="B34" s="43" t="s">
        <x:v>389</x:v>
      </x:c>
      <x:c r="C34" s="43" t="s">
        <x:v>390</x:v>
      </x:c>
      <x:c r="D34" s="43" t="s">
        <x:v>391</x:v>
      </x:c>
      <x:c r="E34" s="44" t="s">
        <x:v>392</x:v>
      </x:c>
    </x:row>
    <x:row r="35" ht="15.75" customHeight="1">
      <x:c r="A35" s="43" t="s">
        <x:v>393</x:v>
      </x:c>
      <x:c r="B35" s="43" t="s">
        <x:v>394</x:v>
      </x:c>
      <x:c r="C35" s="43" t="s">
        <x:v>395</x:v>
      </x:c>
      <x:c r="D35" s="43" t="s">
        <x:v>396</x:v>
      </x:c>
      <x:c r="E35" s="44" t="s">
        <x:v>397</x:v>
      </x:c>
    </x:row>
    <x:row r="36" ht="15.75" customHeight="1">
      <x:c r="A36" s="43" t="s">
        <x:v>393</x:v>
      </x:c>
      <x:c r="B36" s="43" t="s">
        <x:v>398</x:v>
      </x:c>
      <x:c r="C36" s="43" t="s">
        <x:v>399</x:v>
      </x:c>
      <x:c r="D36" s="43" t="s">
        <x:v>396</x:v>
      </x:c>
      <x:c r="E36" s="44" t="s">
        <x:v>400</x:v>
      </x:c>
    </x:row>
    <x:row r="37" ht="15.75" customHeight="1">
      <x:c r="A37" s="43" t="s">
        <x:v>393</x:v>
      </x:c>
      <x:c r="B37" s="43" t="s">
        <x:v>401</x:v>
      </x:c>
      <x:c r="C37" s="43" t="s">
        <x:v>402</x:v>
      </x:c>
      <x:c r="D37" s="43" t="s">
        <x:v>396</x:v>
      </x:c>
      <x:c r="E37" s="44" t="s">
        <x:v>403</x:v>
      </x:c>
    </x:row>
    <x:row r="38" ht="15.75" customHeight="1">
      <x:c r="A38" s="43" t="s">
        <x:v>393</x:v>
      </x:c>
      <x:c r="B38" s="43" t="s">
        <x:v>404</x:v>
      </x:c>
      <x:c r="C38" s="43" t="s">
        <x:v>405</x:v>
      </x:c>
      <x:c r="D38" s="43" t="s">
        <x:v>213</x:v>
      </x:c>
      <x:c r="E38" s="44" t="s">
        <x:v>400</x:v>
      </x:c>
    </x:row>
    <x:row r="39" ht="15.75" customHeight="1">
      <x:c r="A39" s="43" t="s">
        <x:v>393</x:v>
      </x:c>
      <x:c r="B39" s="43" t="s">
        <x:v>406</x:v>
      </x:c>
      <x:c r="C39" s="43" t="s">
        <x:v>407</x:v>
      </x:c>
      <x:c r="D39" s="43" t="s">
        <x:v>408</x:v>
      </x:c>
      <x:c r="E39" s="44" t="s">
        <x:v>409</x:v>
      </x:c>
    </x:row>
    <x:row r="40" ht="15.75" customHeight="1">
      <x:c r="A40" s="43" t="s">
        <x:v>393</x:v>
      </x:c>
      <x:c r="B40" s="43" t="s">
        <x:v>410</x:v>
      </x:c>
      <x:c r="C40" s="43" t="s">
        <x:v>411</x:v>
      </x:c>
      <x:c r="D40" s="43" t="s">
        <x:v>412</x:v>
      </x:c>
      <x:c r="E40" s="44" t="s">
        <x:v>413</x:v>
      </x:c>
    </x:row>
    <x:row r="41" ht="15.75" customHeight="1">
      <x:c r="A41" s="43" t="s">
        <x:v>393</x:v>
      </x:c>
      <x:c r="B41" s="43" t="s">
        <x:v>414</x:v>
      </x:c>
      <x:c r="C41" s="43" t="s">
        <x:v>415</x:v>
      </x:c>
      <x:c r="D41" s="43" t="s">
        <x:v>416</x:v>
      </x:c>
      <x:c r="E41" s="44" t="s">
        <x:v>417</x:v>
      </x:c>
    </x:row>
    <x:row r="42" ht="15.75" customHeight="1"/>
    <x:row r="43" ht="15.75" customHeight="1">
      <x:c r="A43" s="3" t="s">
        <x:v>418</x:v>
      </x:c>
    </x:row>
    <x:row r="44" ht="15.75" customHeight="1"/>
    <x:row r="45" ht="75" customHeight="1">
      <x:c r="A45" s="83" t="str">
        <x:v>DATA-17: NGUỒN VÀ GIẢ ĐỊNH DÙNG TRONG BÀI</x:v>
      </x:c>
      <x:c r="B45" s="83"/>
      <x:c r="C45" s="83"/>
      <x:c r="D45" s="83"/>
      <x:c r="E45" s="83"/>
    </x:row>
    <x:row r="46" ht="75" customHeight="1">
      <x:c r="A46" s="83" t="str">
        <x:v>Ngày kiểm tra giá</x:v>
      </x:c>
      <x:c r="B46" s="93" t="d">
        <x:v>2026-10-08T00:00:00.000Z</x:v>
      </x:c>
      <x:c r="C46" s="83"/>
      <x:c r="D46" s="83"/>
      <x:c r="E46" s="83"/>
    </x:row>
    <x:row r="47" ht="75" customHeight="1">
      <x:c r="A47" s="83" t="str">
        <x:v>Gemini3.7 Flash Standard paid</x:v>
      </x:c>
      <x:c r="B47" s="83" t="str">
        <x:v>Input$0.75; output$3.75 /1M tokens</x:v>
      </x:c>
      <x:c r="C47" s="83" t="n">
        <x:v>0.75</x:v>
      </x:c>
      <x:c r="D47" s="83" t="n">
        <x:v>3.75</x:v>
      </x:c>
      <x:c r="E47" s="83" t="str">
        <x:v>https://ai.google.dev/gemini-api/docs/pricing</x:v>
      </x:c>
    </x:row>
    <x:row r="48" ht="75" customHeight="1">
      <x:c r="A48" s="83" t="str">
        <x:v>Giá từ01/01/2027</x:v>
      </x:c>
      <x:c r="B48" s="83" t="str">
        <x:v>Input$1.50; output$7.50 /1M tokens (2x)</x:v>
      </x:c>
      <x:c r="C48" s="83"/>
      <x:c r="D48" s="83"/>
      <x:c r="E48" s="83" t="str">
        <x:v>https://ai.google.dev/gemini-api/docs/pricing</x:v>
      </x:c>
    </x:row>
    <x:row r="49" ht="75" customHeight="1">
      <x:c r="A49" s="83" t="str">
        <x:v>Không bật cache/batch</x:v>
      </x:c>
      <x:c r="B49" s="83" t="str">
        <x:v>Cache token0, chưa đo hit/TTL. Batch giảm50% token, cần thử SLA; không cộng dồn discount. Speech/telephony0 vì không thoại.</x:v>
      </x:c>
      <x:c r="C49" s="83"/>
      <x:c r="D49" s="83"/>
      <x:c r="E49" s="83"/>
    </x:row>
    <x:row r="50" ht="75" customHeight="1">
      <x:c r="A50" s="83" t="str">
        <x:v>Token budget mọi agent</x:v>
      </x:c>
      <x:c r="B50" s="83" t="str">
        <x:v>1,000input+200output kể cả thinking/attempt là dự toán tổng mọi call, chưa log; không phải mỗi agent.</x:v>
      </x:c>
      <x:c r="C50" s="83"/>
      <x:c r="D50" s="83"/>
      <x:c r="E50" s="83"/>
    </x:row>
    <x:row r="51" ht="75" customHeight="1">
      <x:c r="A51" s="83" t="str">
        <x:v>Nguồn dự án chính</x:v>
      </x:c>
      <x:c r="B51" s="83" t="str">
        <x:v>metrics-pack.md §§00–06: Steward VSF, vùng xám0.55–0.85, nhịp tuần, quality14d, LLM≤$0.02.</x:v>
      </x:c>
      <x:c r="C51" s="83"/>
      <x:c r="D51" s="83"/>
      <x:c r="E51" s="83"/>
    </x:row>
    <x:row r="52" ht="75" customHeight="1">
      <x:c r="A52" s="83" t="str">
        <x:v>Sizing chưa đo</x:v>
      </x:c>
      <x:c r="B52" s="83" t="str">
        <x:v>100k attempts/tháng≈25k/tuần×4 là cấu hình thương mại giả định. R80% từ bản nháp chỉ scenario; chưa eval/phân phối score.</x:v>
      </x:c>
      <x:c r="C52" s="83"/>
      <x:c r="D52" s="83"/>
      <x:c r="E52" s="83"/>
    </x:row>
    <x:row r="53" ht="75" customHeight="1">
      <x:c r="A53" s="83" t="str">
        <x:v>Infra $0.005/attempt</x:v>
      </x:c>
      <x:c r="B53" s="83" t="str">
        <x:v>Giả định100k: graph/vector100+compute200+storage/egress50+logs/eval50+support100=$500/tháng. Chưa gồm retry infra.</x:v>
      </x:c>
      <x:c r="C53" s="83"/>
      <x:c r="D53" s="83"/>
      <x:c r="E53" s="83"/>
    </x:row>
    <x:row r="54" ht="75" customHeight="1">
      <x:c r="A54" s="83" t="str">
        <x:v>QA, nhân sự, overhead</x:v>
      </x:c>
      <x:c r="B54" s="83" t="str">
        <x:v>QA1%×1phút×$10/h=$166.67. Escalate1phút khách trả(A). $3,000R&amp;D/sales phân bổ/khách là giả định; không cộng CAC thêm vào opex.</x:v>
      </x:c>
      <x:c r="C54" s="83"/>
      <x:c r="D54" s="83"/>
      <x:c r="E54" s="83"/>
    </x:row>
    <x:row r="55" ht="75" customHeight="1">
      <x:c r="A55" s="83" t="str">
        <x:v>Retry và FX</x:v>
      </x:c>
      <x:c r="B55" s="83" t="str">
        <x:v>Retry5% chưa đo, chỉ rerun API. FX26,000VND/USD chỉ giả định minh họa; quyết định economics dùng USD.</x:v>
      </x:c>
      <x:c r="C55" s="83"/>
      <x:c r="D55" s="83"/>
      <x:c r="E55" s="83"/>
    </x:row>
    <x:row r="56" ht="75" customHeight="1">
      <x:c r="A56" s="83" t="str">
        <x:v>Giá dự kiến sau pilot</x:v>
      </x:c>
      <x:c r="B56" s="83" t="str">
        <x:v>Base$1,000/5seats để cover fixed footprint giả định; usage$0.04 trên sàn; zero free quota; cap$5,000 phải duyệt trước xử lý vượt.</x:v>
      </x:c>
      <x:c r="C56" s="83"/>
      <x:c r="D56" s="83"/>
      <x:c r="E56" s="83"/>
    </x:row>
    <x:row r="57" ht="75" customHeight="1">
      <x:c r="A57" s="83" t="str">
        <x:v>Tamr kiểm tra08/10/2026</x:v>
      </x:c>
      <x:c r="B57" s="83" t="str">
        <x:v>Subscription+golden-record volume; không đơn giá công khai</x:v>
      </x:c>
      <x:c r="C57" s="83"/>
      <x:c r="D57" s="83"/>
      <x:c r="E57" s="83" t="str">
        <x:v>https://www.tamr.com/pricing</x:v>
      </x:c>
    </x:row>
    <x:row r="58" ht="75" customHeight="1">
      <x:c r="A58" s="83" t="str">
        <x:v>AWS ER kiểm tra08/10/2026</x:v>
      </x:c>
      <x:c r="B58" s="83" t="str">
        <x:v>Rule/ML$0.25/1,000input records, cả non-match; khác pair/golden record</x:v>
      </x:c>
      <x:c r="C58" s="83"/>
      <x:c r="D58" s="83"/>
      <x:c r="E58" s="83" t="str">
        <x:v>https://aws.amazon.com/entity-resolution/pricing/</x:v>
      </x:c>
    </x:row>
    <x:row r="59" ht="75" customHeight="1">
      <x:c r="A59" s="83" t="str">
        <x:v>Budget line / buyer</x:v>
      </x:c>
      <x:c r="B59" s="83" t="str">
        <x:v>Data Operations / quản trị chất lượng. Head of Data champion; CDO/IT phê duyệt; Procurement/Security đồng duyệt: giả thuyết discovery.</x:v>
      </x:c>
      <x:c r="C59" s="83"/>
      <x:c r="D59" s="83"/>
      <x:c r="E59" s="83"/>
    </x:row>
    <x:row r="60" ht="75" customHeight="1">
      <x:c r="A60" s="83" t="str">
        <x:v>Mục tiêu chưa đo</x:v>
      </x:c>
      <x:c r="B60" s="83" t="str">
        <x:v>60→25s=58.33%; NSM+30%/4tuần; revert≤1%; evidence≥80%. R80% và false merge&lt;0.1% là gate tự động hóa bổ sung.</x:v>
      </x:c>
      <x:c r="C60" s="83"/>
      <x:c r="D60" s="83"/>
      <x:c r="E60" s="83"/>
    </x:row>
    <x:row r="61" ht="75" customHeight="1">
      <x:c r="A61" s="83" t="str">
        <x:v>Bằng chứng hiện tại</x:v>
      </x:c>
      <x:c r="B61" s="83" t="str">
        <x:v>Attribution2/10, Autonomy0/10 theo tài liệu cung cấp; chưa raw logs/holdout. Pilot phí cố định theo phạm vi; chưa bán Outcome.</x:v>
      </x:c>
      <x:c r="C61" s="83"/>
      <x:c r="D61" s="83"/>
      <x:c r="E61" s="83"/>
    </x:row>
    <x:row r="62" ht="75" customHeight="1">
      <x:c r="A62" s="83" t="str">
        <x:v>Sales assumptions</x:v>
      </x:c>
      <x:c r="B62" s="83" t="str">
        <x:v>CPO$8k=$32k all-in/4qualified opportunities; win25%, quota$500k/năm,250days là giả định chưa đo, không benchmark thực nghiệm.</x:v>
      </x:c>
      <x:c r="C62" s="83"/>
      <x:c r="D62" s="83"/>
      <x:c r="E62" s="83"/>
    </x:row>
    <x:row r="63" ht="75" customHeight="1">
      <x:c r="A63" s="83" t="str">
        <x:v>An toàn dữ liệu</x:v>
      </x:c>
      <x:c r="B63" s="83" t="str">
        <x:v>Paid tier No product improvement không đồng nghĩa zero retention/residency. Masking, DPA, RBAC, export/exit cần kiểm chứng trước PII thật.</x:v>
      </x:c>
      <x:c r="C63" s="83"/>
      <x:c r="D63" s="83"/>
      <x:c r="E63" s="83"/>
    </x:row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